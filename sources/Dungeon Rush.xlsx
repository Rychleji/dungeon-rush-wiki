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pidos\Downloads\"/>
    </mc:Choice>
  </mc:AlternateContent>
  <xr:revisionPtr revIDLastSave="0" documentId="8_{87B2C7AC-FB78-4F30-9FE4-882BD0DE1F99}" xr6:coauthVersionLast="47" xr6:coauthVersionMax="47" xr10:uidLastSave="{00000000-0000-0000-0000-000000000000}"/>
  <bookViews>
    <workbookView xWindow="-107" yWindow="-107" windowWidth="27725" windowHeight="15689" tabRatio="624" activeTab="4" xr2:uid="{653151A4-9118-450E-9E59-30EB1A2964B4}"/>
  </bookViews>
  <sheets>
    <sheet name="Gear Stats" sheetId="1" r:id="rId1"/>
    <sheet name="Drop Chances" sheetId="6" r:id="rId2"/>
    <sheet name="Level Up Xp" sheetId="2" r:id="rId3"/>
    <sheet name="Cape Stats" sheetId="3" r:id="rId4"/>
    <sheet name="Damage" sheetId="9" r:id="rId5"/>
    <sheet name="Health Calulator " sheetId="7" r:id="rId6"/>
    <sheet name="Masteries" sheetId="8" r:id="rId7"/>
    <sheet name="Substats" sheetId="5" r:id="rId8"/>
    <sheet name="Clan War Points" sheetId="4" r:id="rId9"/>
    <sheet name="test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3" i="5" l="1"/>
  <c r="E35" i="5"/>
  <c r="E37" i="5"/>
  <c r="E39" i="5"/>
  <c r="E41" i="5"/>
  <c r="E43" i="5"/>
  <c r="E45" i="5"/>
  <c r="E31" i="5"/>
  <c r="E14" i="5"/>
  <c r="E12" i="5"/>
  <c r="J5" i="7"/>
  <c r="J5" i="9"/>
  <c r="H5" i="9"/>
  <c r="F5" i="9"/>
  <c r="D5" i="9"/>
  <c r="B5" i="9"/>
  <c r="D5" i="7"/>
  <c r="F5" i="7"/>
  <c r="H5" i="7"/>
  <c r="B5" i="7"/>
  <c r="E4" i="5"/>
  <c r="E6" i="5"/>
  <c r="E8" i="5"/>
  <c r="E10" i="5"/>
  <c r="E16" i="5"/>
  <c r="E18" i="5"/>
  <c r="E20" i="5"/>
  <c r="E22" i="5"/>
  <c r="E24" i="5"/>
  <c r="E26" i="5"/>
  <c r="E28" i="5"/>
  <c r="K8" i="3"/>
  <c r="K6" i="3"/>
  <c r="M8" i="3"/>
  <c r="M6" i="3"/>
  <c r="I6" i="3"/>
  <c r="I8" i="3"/>
  <c r="G6" i="3"/>
  <c r="G8" i="3" s="1"/>
  <c r="E8" i="3"/>
  <c r="E6" i="3"/>
  <c r="C7" i="7" l="1"/>
  <c r="D1" i="9"/>
  <c r="C1" i="7"/>
  <c r="B1" i="7"/>
  <c r="C7" i="9"/>
  <c r="C1" i="9"/>
  <c r="C9" i="7" l="1"/>
  <c r="G7" i="7"/>
  <c r="G7" i="9"/>
  <c r="C9" i="9"/>
  <c r="G9" i="9" l="1"/>
  <c r="C11" i="9" s="1"/>
  <c r="G11" i="9" s="1"/>
  <c r="G9" i="7"/>
</calcChain>
</file>

<file path=xl/sharedStrings.xml><?xml version="1.0" encoding="utf-8"?>
<sst xmlns="http://schemas.openxmlformats.org/spreadsheetml/2006/main" count="391" uniqueCount="196">
  <si>
    <t>Gear stats</t>
  </si>
  <si>
    <t>level 1,100,130</t>
  </si>
  <si>
    <t>Common</t>
  </si>
  <si>
    <t>Uncommon</t>
  </si>
  <si>
    <t>Rare</t>
  </si>
  <si>
    <t>Epic</t>
  </si>
  <si>
    <t>Legendary</t>
  </si>
  <si>
    <t>Mythic</t>
  </si>
  <si>
    <t>Artifact</t>
  </si>
  <si>
    <t>Ancient</t>
  </si>
  <si>
    <t>Immortal</t>
  </si>
  <si>
    <t>Divine</t>
  </si>
  <si>
    <t>weapon(melee)</t>
  </si>
  <si>
    <t>9.1, 22.5</t>
  </si>
  <si>
    <t xml:space="preserve">29, </t>
  </si>
  <si>
    <t>weapon(range)</t>
  </si>
  <si>
    <t>7.1, 17.5</t>
  </si>
  <si>
    <t>653.01k</t>
  </si>
  <si>
    <t>hat</t>
  </si>
  <si>
    <t>45.7, 112.5</t>
  </si>
  <si>
    <t xml:space="preserve">144, </t>
  </si>
  <si>
    <t>4.2m</t>
  </si>
  <si>
    <t>gloves</t>
  </si>
  <si>
    <t>6.1, 15</t>
  </si>
  <si>
    <t>559.72k</t>
  </si>
  <si>
    <t>back</t>
  </si>
  <si>
    <t>30.4, 75</t>
  </si>
  <si>
    <t>2.8m</t>
  </si>
  <si>
    <t>necklace</t>
  </si>
  <si>
    <t>20.3, 50</t>
  </si>
  <si>
    <t xml:space="preserve">64, </t>
  </si>
  <si>
    <t>1.87m</t>
  </si>
  <si>
    <t>ring</t>
  </si>
  <si>
    <t>6.1, 15,</t>
  </si>
  <si>
    <t xml:space="preserve">19, </t>
  </si>
  <si>
    <t>Level up xp</t>
  </si>
  <si>
    <t>Cape Stats</t>
  </si>
  <si>
    <t>Level 1</t>
  </si>
  <si>
    <t>Level 50</t>
  </si>
  <si>
    <t>Level 100</t>
  </si>
  <si>
    <t>Clan War Points</t>
  </si>
  <si>
    <t>Day 1, 3, 5</t>
  </si>
  <si>
    <t>Open boxes</t>
  </si>
  <si>
    <t>Summon Pets</t>
  </si>
  <si>
    <t>Level up</t>
  </si>
  <si>
    <t>Day 2, 4</t>
  </si>
  <si>
    <t>Summon Cloaks</t>
  </si>
  <si>
    <t>Stone</t>
  </si>
  <si>
    <t>Coal</t>
  </si>
  <si>
    <t>Iron</t>
  </si>
  <si>
    <t>Ruby</t>
  </si>
  <si>
    <t>Emeral</t>
  </si>
  <si>
    <t>Gold</t>
  </si>
  <si>
    <t>Diamond</t>
  </si>
  <si>
    <t>Mine Ores</t>
  </si>
  <si>
    <t>Dungeon Keys</t>
  </si>
  <si>
    <t>Day 6</t>
  </si>
  <si>
    <t>Pvp</t>
  </si>
  <si>
    <t>(Max resets TBD)</t>
  </si>
  <si>
    <t>Substats</t>
  </si>
  <si>
    <t>Max %</t>
  </si>
  <si>
    <t>True Max</t>
  </si>
  <si>
    <t xml:space="preserve">Stacks? (Continues </t>
  </si>
  <si>
    <t>Useful Currently?</t>
  </si>
  <si>
    <t>Gives Power?</t>
  </si>
  <si>
    <t>(Guesstimated)</t>
  </si>
  <si>
    <t>(Max % on every gear)</t>
  </si>
  <si>
    <t>boost after 100%)</t>
  </si>
  <si>
    <t>(range)</t>
  </si>
  <si>
    <t>(melee)</t>
  </si>
  <si>
    <t>(Useless)</t>
  </si>
  <si>
    <t>Crit Chance</t>
  </si>
  <si>
    <t>N/A</t>
  </si>
  <si>
    <t>Yes</t>
  </si>
  <si>
    <t>No</t>
  </si>
  <si>
    <t>Crit Damage</t>
  </si>
  <si>
    <t>Attack Speed</t>
  </si>
  <si>
    <t>Double hit</t>
  </si>
  <si>
    <t>Ranged Damage</t>
  </si>
  <si>
    <t>Yes**</t>
  </si>
  <si>
    <t>Melee Damage</t>
  </si>
  <si>
    <t>Damage</t>
  </si>
  <si>
    <t>Health</t>
  </si>
  <si>
    <t>Lifesteal</t>
  </si>
  <si>
    <t>Block Chance</t>
  </si>
  <si>
    <t>Maybe</t>
  </si>
  <si>
    <t>Health Regen</t>
  </si>
  <si>
    <t>Companion Cooldown</t>
  </si>
  <si>
    <t>Campanion Damage</t>
  </si>
  <si>
    <t>96,</t>
  </si>
  <si>
    <t>19,</t>
  </si>
  <si>
    <t>22,</t>
  </si>
  <si>
    <t>456.75k</t>
  </si>
  <si>
    <t>203k</t>
  </si>
  <si>
    <t>91.35k</t>
  </si>
  <si>
    <t>60.9k</t>
  </si>
  <si>
    <t>96.29k</t>
  </si>
  <si>
    <t>304.5k</t>
  </si>
  <si>
    <t>71.05k</t>
  </si>
  <si>
    <t>Gear</t>
  </si>
  <si>
    <t xml:space="preserve">Common </t>
  </si>
  <si>
    <t>Relics</t>
  </si>
  <si>
    <t>Pets</t>
  </si>
  <si>
    <t>Capes</t>
  </si>
  <si>
    <t>Ores</t>
  </si>
  <si>
    <t>Emerald</t>
  </si>
  <si>
    <t>head</t>
  </si>
  <si>
    <t>neck</t>
  </si>
  <si>
    <t>relic</t>
  </si>
  <si>
    <t>total</t>
  </si>
  <si>
    <t>wings</t>
  </si>
  <si>
    <t>health total</t>
  </si>
  <si>
    <t>cape %</t>
  </si>
  <si>
    <t>pets</t>
  </si>
  <si>
    <t>mythic</t>
  </si>
  <si>
    <t>legendary</t>
  </si>
  <si>
    <t>epic</t>
  </si>
  <si>
    <t>health sub</t>
  </si>
  <si>
    <t>from cape</t>
  </si>
  <si>
    <t>from substat</t>
  </si>
  <si>
    <t>true total</t>
  </si>
  <si>
    <t>health without relic</t>
  </si>
  <si>
    <t>Name</t>
  </si>
  <si>
    <t>Desciption</t>
  </si>
  <si>
    <t>Unlock Price</t>
  </si>
  <si>
    <t>Max Effect</t>
  </si>
  <si>
    <t>Number of levels</t>
  </si>
  <si>
    <t>Gems to max</t>
  </si>
  <si>
    <t>Auto- Loot Speed</t>
  </si>
  <si>
    <t>EXP Boost Multplier</t>
  </si>
  <si>
    <t>Offer Gem Chance</t>
  </si>
  <si>
    <t>Summon Capacity</t>
  </si>
  <si>
    <t>Max Pickaxes</t>
  </si>
  <si>
    <t>Max Item Level</t>
  </si>
  <si>
    <t>Extended EXP Boost</t>
  </si>
  <si>
    <t>Offline Earning Rate</t>
  </si>
  <si>
    <t>Movement Speed</t>
  </si>
  <si>
    <t>amount of boxes that auto open</t>
  </si>
  <si>
    <t>the multiplier the ad boost gives</t>
  </si>
  <si>
    <t>Recommended to Max?</t>
  </si>
  <si>
    <t>x4</t>
  </si>
  <si>
    <t>x2</t>
  </si>
  <si>
    <t>x2.5</t>
  </si>
  <si>
    <t xml:space="preserve">Amount Per Upgrade </t>
  </si>
  <si>
    <t>2 then 4</t>
  </si>
  <si>
    <t>Yes if melee</t>
  </si>
  <si>
    <t>weapon</t>
  </si>
  <si>
    <t>damage</t>
  </si>
  <si>
    <t>from crit</t>
  </si>
  <si>
    <t>base damage</t>
  </si>
  <si>
    <t>total with crit</t>
  </si>
  <si>
    <t>damage without relic</t>
  </si>
  <si>
    <t>rare</t>
  </si>
  <si>
    <t>uncommon</t>
  </si>
  <si>
    <t>common</t>
  </si>
  <si>
    <t>crit damage</t>
  </si>
  <si>
    <t>1*</t>
  </si>
  <si>
    <t>* EXP boost if you will be online a lot and Offline if you will afk a lot</t>
  </si>
  <si>
    <t>Recommended Level</t>
  </si>
  <si>
    <t>5 then max</t>
  </si>
  <si>
    <t>around 7</t>
  </si>
  <si>
    <t>0 then max</t>
  </si>
  <si>
    <t>5 then 10 or max</t>
  </si>
  <si>
    <t>max</t>
  </si>
  <si>
    <t>helmet</t>
  </si>
  <si>
    <t>backpack</t>
  </si>
  <si>
    <t>the chance for gems to be given</t>
  </si>
  <si>
    <t>instead of boxes in the flying chests</t>
  </si>
  <si>
    <t xml:space="preserve">increases the number of pets </t>
  </si>
  <si>
    <t>you can spawn per summon</t>
  </si>
  <si>
    <t xml:space="preserve">increases the amount of time you can gain afk </t>
  </si>
  <si>
    <t>rewards for you can gain afk rewards for</t>
  </si>
  <si>
    <t>Max Offline Time</t>
  </si>
  <si>
    <t>increases the max mount of</t>
  </si>
  <si>
    <t>pickaxes you can have</t>
  </si>
  <si>
    <t xml:space="preserve">increases the max level </t>
  </si>
  <si>
    <t>your gear can be</t>
  </si>
  <si>
    <t xml:space="preserve">increases the time gained per </t>
  </si>
  <si>
    <t>ad watched for the xp boost</t>
  </si>
  <si>
    <t xml:space="preserve">increases the speed at which </t>
  </si>
  <si>
    <t>you gain resources while afk</t>
  </si>
  <si>
    <t>increases the speed your</t>
  </si>
  <si>
    <t>character moves</t>
  </si>
  <si>
    <t>Order of Upgrading</t>
  </si>
  <si>
    <t>EXP Substats</t>
  </si>
  <si>
    <t>Ranged Defense</t>
  </si>
  <si>
    <t>Melee Defense</t>
  </si>
  <si>
    <t>Mega Crit Chance</t>
  </si>
  <si>
    <t>Triple Hit Chance</t>
  </si>
  <si>
    <t>Thorns</t>
  </si>
  <si>
    <t>Critical Defense</t>
  </si>
  <si>
    <t>* with the epic pet vial root</t>
  </si>
  <si>
    <t>** range for range and melee for melee</t>
  </si>
  <si>
    <t>Movement speed</t>
  </si>
  <si>
    <t>Knockback</t>
  </si>
  <si>
    <t xml:space="preserve">Maybe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</si>
</sst>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?&quot;"/>
    <numFmt numFmtId="165" formatCode="#,##0&quot;*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9" fontId="0" fillId="0" borderId="0" xfId="0" applyNumberFormat="1"/>
    <xf numFmtId="9" fontId="0" fillId="0" borderId="5" xfId="0" applyNumberFormat="1" applyBorder="1"/>
    <xf numFmtId="10" fontId="0" fillId="0" borderId="0" xfId="0" applyNumberFormat="1"/>
    <xf numFmtId="10" fontId="0" fillId="0" borderId="5" xfId="0" applyNumberFormat="1" applyBorder="1"/>
    <xf numFmtId="0" fontId="0" fillId="0" borderId="6" xfId="0" applyBorder="1"/>
    <xf numFmtId="0" fontId="0" fillId="0" borderId="7" xfId="0" applyBorder="1"/>
    <xf numFmtId="10" fontId="0" fillId="0" borderId="7" xfId="0" applyNumberFormat="1" applyBorder="1"/>
    <xf numFmtId="10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0" fontId="0" fillId="0" borderId="10" xfId="0" applyNumberFormat="1" applyBorder="1"/>
    <xf numFmtId="10" fontId="0" fillId="0" borderId="11" xfId="0" applyNumberFormat="1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10" fontId="0" fillId="0" borderId="12" xfId="0" applyNumberFormat="1" applyBorder="1"/>
    <xf numFmtId="0" fontId="0" fillId="0" borderId="8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0" fillId="0" borderId="15" xfId="0" applyBorder="1" applyAlignment="1">
      <alignment horizontal="right"/>
    </xf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0" borderId="16" xfId="0" applyBorder="1" applyAlignment="1">
      <alignment horizontal="right"/>
    </xf>
    <xf numFmtId="0" fontId="0" fillId="0" borderId="18" xfId="0" applyBorder="1"/>
    <xf numFmtId="0" fontId="0" fillId="0" borderId="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3" fillId="0" borderId="0" xfId="0" applyFont="1"/>
    <xf numFmtId="0" fontId="0" fillId="0" borderId="1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2" fillId="0" borderId="16" xfId="0" applyFont="1" applyBorder="1"/>
    <xf numFmtId="9" fontId="0" fillId="0" borderId="16" xfId="0" applyNumberFormat="1" applyBorder="1" applyAlignment="1">
      <alignment horizontal="right"/>
    </xf>
    <xf numFmtId="10" fontId="0" fillId="0" borderId="16" xfId="0" applyNumberFormat="1" applyBorder="1" applyAlignment="1">
      <alignment horizontal="right"/>
    </xf>
    <xf numFmtId="16" fontId="0" fillId="0" borderId="16" xfId="0" applyNumberFormat="1" applyBorder="1" applyAlignment="1">
      <alignment horizontal="right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0" borderId="12" xfId="0" applyFont="1" applyBorder="1"/>
    <xf numFmtId="0" fontId="0" fillId="0" borderId="32" xfId="0" applyBorder="1"/>
    <xf numFmtId="0" fontId="1" fillId="0" borderId="29" xfId="0" applyFont="1" applyBorder="1"/>
    <xf numFmtId="0" fontId="0" fillId="0" borderId="3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3B21-8B71-4DFC-9B69-90CBAE8D54C0}">
  <dimension ref="A1:W17"/>
  <sheetViews>
    <sheetView zoomScale="115" zoomScaleNormal="115" workbookViewId="0">
      <selection activeCell="G25" sqref="G25"/>
    </sheetView>
  </sheetViews>
  <sheetFormatPr defaultRowHeight="14" x14ac:dyDescent="0.3"/>
  <sheetData>
    <row r="1" spans="1:23" x14ac:dyDescent="0.3">
      <c r="A1" s="1" t="s">
        <v>0</v>
      </c>
    </row>
    <row r="3" spans="1:23" x14ac:dyDescent="0.3">
      <c r="A3" t="s">
        <v>1</v>
      </c>
      <c r="C3" t="s">
        <v>2</v>
      </c>
      <c r="E3" t="s">
        <v>3</v>
      </c>
      <c r="G3" t="s">
        <v>4</v>
      </c>
      <c r="I3" t="s">
        <v>5</v>
      </c>
      <c r="K3" t="s">
        <v>6</v>
      </c>
      <c r="M3" t="s">
        <v>7</v>
      </c>
      <c r="O3" t="s">
        <v>8</v>
      </c>
      <c r="Q3" t="s">
        <v>9</v>
      </c>
      <c r="S3" t="s">
        <v>10</v>
      </c>
      <c r="U3" t="s">
        <v>11</v>
      </c>
    </row>
    <row r="5" spans="1:23" x14ac:dyDescent="0.3">
      <c r="A5" t="s">
        <v>12</v>
      </c>
      <c r="C5" t="s">
        <v>13</v>
      </c>
      <c r="E5" t="s">
        <v>14</v>
      </c>
      <c r="S5" t="s">
        <v>94</v>
      </c>
    </row>
    <row r="7" spans="1:23" x14ac:dyDescent="0.3">
      <c r="A7" t="s">
        <v>15</v>
      </c>
      <c r="C7" t="s">
        <v>16</v>
      </c>
      <c r="E7" t="s">
        <v>91</v>
      </c>
      <c r="S7" t="s">
        <v>98</v>
      </c>
      <c r="W7" t="s">
        <v>17</v>
      </c>
    </row>
    <row r="9" spans="1:23" x14ac:dyDescent="0.3">
      <c r="A9" t="s">
        <v>18</v>
      </c>
      <c r="C9" t="s">
        <v>19</v>
      </c>
      <c r="E9" t="s">
        <v>20</v>
      </c>
      <c r="S9" t="s">
        <v>92</v>
      </c>
      <c r="W9" t="s">
        <v>21</v>
      </c>
    </row>
    <row r="11" spans="1:23" x14ac:dyDescent="0.3">
      <c r="A11" t="s">
        <v>22</v>
      </c>
      <c r="C11" t="s">
        <v>23</v>
      </c>
      <c r="E11" t="s">
        <v>90</v>
      </c>
      <c r="S11" t="s">
        <v>95</v>
      </c>
      <c r="W11" t="s">
        <v>24</v>
      </c>
    </row>
    <row r="13" spans="1:23" x14ac:dyDescent="0.3">
      <c r="A13" t="s">
        <v>25</v>
      </c>
      <c r="C13" t="s">
        <v>26</v>
      </c>
      <c r="E13" t="s">
        <v>89</v>
      </c>
      <c r="Q13" t="s">
        <v>96</v>
      </c>
      <c r="S13" t="s">
        <v>97</v>
      </c>
      <c r="W13" t="s">
        <v>27</v>
      </c>
    </row>
    <row r="15" spans="1:23" x14ac:dyDescent="0.3">
      <c r="A15" t="s">
        <v>28</v>
      </c>
      <c r="C15" t="s">
        <v>29</v>
      </c>
      <c r="E15" t="s">
        <v>30</v>
      </c>
      <c r="S15" t="s">
        <v>93</v>
      </c>
      <c r="W15" t="s">
        <v>31</v>
      </c>
    </row>
    <row r="17" spans="1:23" x14ac:dyDescent="0.3">
      <c r="A17" t="s">
        <v>32</v>
      </c>
      <c r="C17" t="s">
        <v>33</v>
      </c>
      <c r="E17" t="s">
        <v>34</v>
      </c>
      <c r="S17" t="s">
        <v>95</v>
      </c>
      <c r="W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0D6B-98CA-45D1-A094-D4E0BABDC78D}">
  <dimension ref="A1:AZ82"/>
  <sheetViews>
    <sheetView zoomScale="130" zoomScaleNormal="130" workbookViewId="0">
      <pane xSplit="1" topLeftCell="Z1" activePane="topRight" state="frozen"/>
      <selection pane="topRight" activeCell="AH88" sqref="AH88"/>
    </sheetView>
  </sheetViews>
  <sheetFormatPr defaultRowHeight="14" x14ac:dyDescent="0.3"/>
  <cols>
    <col min="1" max="1" width="10.296875" bestFit="1" customWidth="1"/>
  </cols>
  <sheetData>
    <row r="1" spans="1:52" x14ac:dyDescent="0.3">
      <c r="A1" s="1" t="s">
        <v>99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</row>
    <row r="3" spans="1:52" x14ac:dyDescent="0.3">
      <c r="A3" t="s">
        <v>100</v>
      </c>
      <c r="C3">
        <v>100</v>
      </c>
      <c r="D3">
        <v>98</v>
      </c>
      <c r="E3">
        <v>95.9</v>
      </c>
      <c r="F3">
        <v>91.5</v>
      </c>
      <c r="G3">
        <v>87.36</v>
      </c>
      <c r="H3">
        <v>83.21</v>
      </c>
      <c r="I3">
        <v>78.98</v>
      </c>
      <c r="J3">
        <v>74.72</v>
      </c>
      <c r="K3">
        <v>70.39</v>
      </c>
      <c r="L3">
        <v>65.92</v>
      </c>
      <c r="M3">
        <v>57.39</v>
      </c>
      <c r="N3">
        <v>48.73</v>
      </c>
      <c r="O3">
        <v>39.81</v>
      </c>
      <c r="P3">
        <v>30.7</v>
      </c>
    </row>
    <row r="4" spans="1:52" x14ac:dyDescent="0.3">
      <c r="A4" t="s">
        <v>3</v>
      </c>
      <c r="D4">
        <v>2</v>
      </c>
      <c r="E4">
        <v>4</v>
      </c>
      <c r="F4">
        <v>8</v>
      </c>
      <c r="G4">
        <v>12</v>
      </c>
      <c r="H4">
        <v>16</v>
      </c>
      <c r="I4">
        <v>20</v>
      </c>
      <c r="J4">
        <v>24</v>
      </c>
      <c r="K4">
        <v>28</v>
      </c>
      <c r="L4">
        <v>32</v>
      </c>
      <c r="M4">
        <v>40</v>
      </c>
      <c r="N4">
        <v>48</v>
      </c>
      <c r="O4">
        <v>56</v>
      </c>
      <c r="P4">
        <v>64</v>
      </c>
      <c r="Q4">
        <v>93.36</v>
      </c>
      <c r="R4">
        <v>91.5</v>
      </c>
      <c r="S4">
        <v>89.37</v>
      </c>
      <c r="T4">
        <v>87.21</v>
      </c>
      <c r="U4">
        <v>84.97</v>
      </c>
      <c r="V4">
        <v>82.67</v>
      </c>
      <c r="W4">
        <v>78.34</v>
      </c>
      <c r="X4">
        <v>73.92</v>
      </c>
      <c r="Y4">
        <v>69.34</v>
      </c>
      <c r="Z4">
        <v>64.67</v>
      </c>
      <c r="AA4">
        <v>55.81</v>
      </c>
      <c r="AB4">
        <v>46.65</v>
      </c>
      <c r="AC4">
        <v>37.31</v>
      </c>
      <c r="AD4">
        <v>28.59</v>
      </c>
    </row>
    <row r="5" spans="1:52" x14ac:dyDescent="0.3">
      <c r="A5" t="s">
        <v>4</v>
      </c>
      <c r="E5">
        <v>0.1</v>
      </c>
      <c r="F5">
        <v>0.5</v>
      </c>
      <c r="G5">
        <v>0.63</v>
      </c>
      <c r="H5">
        <v>0.78</v>
      </c>
      <c r="I5">
        <v>1</v>
      </c>
      <c r="J5">
        <v>1.25</v>
      </c>
      <c r="K5">
        <v>1.56</v>
      </c>
      <c r="L5">
        <v>2</v>
      </c>
      <c r="M5">
        <v>2.5</v>
      </c>
      <c r="N5">
        <v>3.12</v>
      </c>
      <c r="O5">
        <v>4</v>
      </c>
      <c r="P5">
        <v>5</v>
      </c>
      <c r="Q5">
        <v>6.25</v>
      </c>
      <c r="R5">
        <v>8</v>
      </c>
      <c r="S5">
        <v>10</v>
      </c>
      <c r="T5">
        <v>12</v>
      </c>
      <c r="U5">
        <v>14</v>
      </c>
      <c r="V5">
        <v>16</v>
      </c>
      <c r="W5">
        <v>20</v>
      </c>
      <c r="X5">
        <v>24</v>
      </c>
      <c r="Y5">
        <v>28</v>
      </c>
      <c r="Z5">
        <v>32</v>
      </c>
      <c r="AA5">
        <v>40</v>
      </c>
      <c r="AB5">
        <v>48</v>
      </c>
      <c r="AC5">
        <v>56</v>
      </c>
      <c r="AD5">
        <v>64</v>
      </c>
      <c r="AE5">
        <v>89.25</v>
      </c>
      <c r="AF5">
        <v>86.56</v>
      </c>
      <c r="AG5">
        <v>83.6</v>
      </c>
      <c r="AH5">
        <v>80.5</v>
      </c>
      <c r="AI5">
        <v>77.12</v>
      </c>
      <c r="AJ5">
        <v>71.22</v>
      </c>
      <c r="AK5">
        <v>64.989999999999995</v>
      </c>
      <c r="AL5">
        <v>58.74</v>
      </c>
      <c r="AM5">
        <v>52.42</v>
      </c>
      <c r="AN5">
        <v>41.97</v>
      </c>
      <c r="AO5">
        <v>29.45</v>
      </c>
    </row>
    <row r="6" spans="1:52" x14ac:dyDescent="0.3">
      <c r="A6" t="s">
        <v>5</v>
      </c>
      <c r="G6">
        <v>0.01</v>
      </c>
      <c r="H6">
        <v>0.01</v>
      </c>
      <c r="I6">
        <v>0.02</v>
      </c>
      <c r="J6">
        <v>0.03</v>
      </c>
      <c r="K6">
        <v>0.05</v>
      </c>
      <c r="L6">
        <v>7.0000000000000007E-2</v>
      </c>
      <c r="M6">
        <v>0.1</v>
      </c>
      <c r="N6">
        <v>0.13</v>
      </c>
      <c r="O6">
        <v>0.16</v>
      </c>
      <c r="P6">
        <v>0.25</v>
      </c>
      <c r="Q6">
        <v>0.32</v>
      </c>
      <c r="R6">
        <v>0.4</v>
      </c>
      <c r="S6">
        <v>0.5</v>
      </c>
      <c r="T6">
        <v>0.63</v>
      </c>
      <c r="U6">
        <v>0.78</v>
      </c>
      <c r="V6">
        <v>1</v>
      </c>
      <c r="W6">
        <v>1.25</v>
      </c>
      <c r="X6">
        <v>1.56</v>
      </c>
      <c r="Y6">
        <v>2</v>
      </c>
      <c r="Z6">
        <v>2.5</v>
      </c>
      <c r="AA6">
        <v>3.12</v>
      </c>
      <c r="AB6">
        <v>4</v>
      </c>
      <c r="AC6">
        <v>5</v>
      </c>
      <c r="AD6">
        <v>6.25</v>
      </c>
      <c r="AE6">
        <v>8</v>
      </c>
      <c r="AF6">
        <v>10</v>
      </c>
      <c r="AG6">
        <v>12</v>
      </c>
      <c r="AH6">
        <v>14</v>
      </c>
      <c r="AI6">
        <v>16</v>
      </c>
      <c r="AJ6">
        <v>20</v>
      </c>
      <c r="AK6">
        <v>24</v>
      </c>
      <c r="AL6">
        <v>28</v>
      </c>
      <c r="AM6">
        <v>32</v>
      </c>
      <c r="AN6">
        <v>40</v>
      </c>
      <c r="AO6">
        <v>48</v>
      </c>
      <c r="AP6">
        <v>72.81</v>
      </c>
      <c r="AQ6">
        <v>67.900000000000006</v>
      </c>
      <c r="AR6">
        <v>62.87</v>
      </c>
      <c r="AS6">
        <v>53.59</v>
      </c>
      <c r="AT6">
        <v>43.75</v>
      </c>
      <c r="AU6">
        <v>33.68</v>
      </c>
    </row>
    <row r="7" spans="1:52" x14ac:dyDescent="0.3">
      <c r="A7" t="s">
        <v>6</v>
      </c>
      <c r="L7">
        <v>0.01</v>
      </c>
      <c r="M7">
        <v>0.01</v>
      </c>
      <c r="N7">
        <v>0.02</v>
      </c>
      <c r="O7">
        <v>0.03</v>
      </c>
      <c r="P7">
        <v>0.05</v>
      </c>
      <c r="Q7">
        <v>7.0000000000000007E-2</v>
      </c>
      <c r="R7">
        <v>0.1</v>
      </c>
      <c r="S7">
        <v>0.13</v>
      </c>
      <c r="T7">
        <v>0.16</v>
      </c>
      <c r="U7">
        <v>0.25</v>
      </c>
      <c r="V7">
        <v>0.32</v>
      </c>
      <c r="W7">
        <v>0.4</v>
      </c>
      <c r="X7">
        <v>0.5</v>
      </c>
      <c r="Y7">
        <v>0.63</v>
      </c>
      <c r="Z7">
        <v>0.78</v>
      </c>
      <c r="AA7">
        <v>1</v>
      </c>
      <c r="AB7">
        <v>1.25</v>
      </c>
      <c r="AC7">
        <v>1.56</v>
      </c>
      <c r="AD7">
        <v>2</v>
      </c>
      <c r="AE7">
        <v>2.5</v>
      </c>
      <c r="AF7">
        <v>3.12</v>
      </c>
      <c r="AG7">
        <v>4</v>
      </c>
      <c r="AH7">
        <v>5</v>
      </c>
      <c r="AI7">
        <v>6.25</v>
      </c>
      <c r="AJ7">
        <v>8</v>
      </c>
      <c r="AK7">
        <v>10</v>
      </c>
      <c r="AL7">
        <v>12</v>
      </c>
      <c r="AM7">
        <v>14</v>
      </c>
      <c r="AN7">
        <v>16</v>
      </c>
      <c r="AO7">
        <v>20</v>
      </c>
      <c r="AP7">
        <v>24</v>
      </c>
      <c r="AQ7">
        <v>28</v>
      </c>
      <c r="AR7">
        <v>32</v>
      </c>
      <c r="AS7">
        <v>40</v>
      </c>
      <c r="AT7">
        <v>48</v>
      </c>
      <c r="AU7">
        <v>56</v>
      </c>
      <c r="AV7">
        <v>87.6</v>
      </c>
      <c r="AW7">
        <v>85.5</v>
      </c>
      <c r="AX7">
        <v>83.37</v>
      </c>
      <c r="AY7">
        <v>79.22</v>
      </c>
      <c r="AZ7">
        <v>74.989999999999995</v>
      </c>
    </row>
    <row r="8" spans="1:52" x14ac:dyDescent="0.3">
      <c r="A8" t="s">
        <v>7</v>
      </c>
      <c r="V8">
        <v>0.01</v>
      </c>
      <c r="W8">
        <v>0.01</v>
      </c>
      <c r="X8">
        <v>0.02</v>
      </c>
      <c r="Y8">
        <v>0.03</v>
      </c>
      <c r="Z8">
        <v>0.05</v>
      </c>
      <c r="AA8">
        <v>7.0000000000000007E-2</v>
      </c>
      <c r="AB8">
        <v>0.1</v>
      </c>
      <c r="AC8">
        <v>0.13</v>
      </c>
      <c r="AD8">
        <v>0.16</v>
      </c>
      <c r="AE8">
        <v>0.25</v>
      </c>
      <c r="AF8">
        <v>0.32</v>
      </c>
      <c r="AG8">
        <v>0.4</v>
      </c>
      <c r="AH8">
        <v>0.5</v>
      </c>
      <c r="AI8">
        <v>0.63</v>
      </c>
      <c r="AJ8">
        <v>0.78</v>
      </c>
      <c r="AK8">
        <v>1</v>
      </c>
      <c r="AL8">
        <v>1.25</v>
      </c>
      <c r="AM8">
        <v>1.56</v>
      </c>
      <c r="AN8">
        <v>2</v>
      </c>
      <c r="AO8">
        <v>2.5</v>
      </c>
      <c r="AP8">
        <v>3.12</v>
      </c>
      <c r="AQ8">
        <v>4</v>
      </c>
      <c r="AR8">
        <v>5</v>
      </c>
      <c r="AS8">
        <v>6.25</v>
      </c>
      <c r="AT8">
        <v>8</v>
      </c>
      <c r="AU8">
        <v>10</v>
      </c>
      <c r="AV8">
        <v>12</v>
      </c>
      <c r="AW8">
        <v>14</v>
      </c>
      <c r="AX8">
        <v>16</v>
      </c>
      <c r="AY8">
        <v>20</v>
      </c>
      <c r="AZ8">
        <v>24</v>
      </c>
    </row>
    <row r="9" spans="1:52" x14ac:dyDescent="0.3">
      <c r="A9" t="s">
        <v>8</v>
      </c>
      <c r="AK9">
        <v>0.01</v>
      </c>
      <c r="AL9">
        <v>0.01</v>
      </c>
      <c r="AM9">
        <v>0.02</v>
      </c>
      <c r="AN9">
        <v>0.03</v>
      </c>
      <c r="AO9">
        <v>0.05</v>
      </c>
      <c r="AP9">
        <v>7.0000000000000007E-2</v>
      </c>
      <c r="AQ9">
        <v>0.1</v>
      </c>
      <c r="AR9">
        <v>0.13</v>
      </c>
      <c r="AS9">
        <v>0.16</v>
      </c>
      <c r="AT9">
        <v>0.25</v>
      </c>
      <c r="AU9">
        <v>0.32</v>
      </c>
      <c r="AV9">
        <v>0.4</v>
      </c>
      <c r="AW9">
        <v>0.5</v>
      </c>
      <c r="AX9">
        <v>0.63</v>
      </c>
      <c r="AY9">
        <v>0.78</v>
      </c>
      <c r="AZ9">
        <v>1</v>
      </c>
    </row>
    <row r="10" spans="1:52" x14ac:dyDescent="0.3">
      <c r="A10" t="s">
        <v>9</v>
      </c>
      <c r="AZ10">
        <v>0.01</v>
      </c>
    </row>
    <row r="11" spans="1:52" x14ac:dyDescent="0.3">
      <c r="A11" t="s">
        <v>10</v>
      </c>
    </row>
    <row r="12" spans="1:52" x14ac:dyDescent="0.3">
      <c r="A12" t="s">
        <v>11</v>
      </c>
    </row>
    <row r="14" spans="1:52" x14ac:dyDescent="0.3">
      <c r="A14" s="1" t="s">
        <v>101</v>
      </c>
    </row>
    <row r="16" spans="1:52" x14ac:dyDescent="0.3">
      <c r="A16">
        <v>1</v>
      </c>
      <c r="C16">
        <v>100</v>
      </c>
      <c r="D16">
        <v>99.5</v>
      </c>
      <c r="F16">
        <v>99.05</v>
      </c>
      <c r="G16">
        <v>98.69</v>
      </c>
      <c r="H16">
        <v>98.19</v>
      </c>
      <c r="I16">
        <v>97.5</v>
      </c>
      <c r="J16">
        <v>96.55</v>
      </c>
      <c r="K16">
        <v>95</v>
      </c>
      <c r="L16">
        <v>92.9</v>
      </c>
      <c r="M16">
        <v>90.02</v>
      </c>
      <c r="N16">
        <v>85.96</v>
      </c>
      <c r="O16">
        <v>80.209999999999994</v>
      </c>
      <c r="P16">
        <v>72.06</v>
      </c>
      <c r="Q16">
        <v>60.46</v>
      </c>
      <c r="R16">
        <v>43.89</v>
      </c>
      <c r="S16">
        <v>35.11</v>
      </c>
      <c r="T16">
        <v>28.09</v>
      </c>
      <c r="U16">
        <v>22.47</v>
      </c>
      <c r="V16">
        <v>17.98</v>
      </c>
      <c r="W16">
        <v>16.5</v>
      </c>
      <c r="X16">
        <v>16.5</v>
      </c>
      <c r="Y16">
        <v>16.5</v>
      </c>
      <c r="Z16">
        <v>16.5</v>
      </c>
      <c r="AA16">
        <v>16.5</v>
      </c>
      <c r="AB16">
        <v>16.5</v>
      </c>
      <c r="AC16">
        <v>16.5</v>
      </c>
      <c r="AD16">
        <v>16.5</v>
      </c>
      <c r="AE16">
        <v>16.5</v>
      </c>
      <c r="AF16">
        <v>16.5</v>
      </c>
      <c r="AG16">
        <v>16.5</v>
      </c>
      <c r="AH16">
        <v>16.5</v>
      </c>
      <c r="AI16">
        <v>16.5</v>
      </c>
      <c r="AJ16">
        <v>16.5</v>
      </c>
      <c r="AK16">
        <v>16.5</v>
      </c>
      <c r="AL16">
        <v>16.5</v>
      </c>
      <c r="AM16">
        <v>16.5</v>
      </c>
      <c r="AN16">
        <v>16.5</v>
      </c>
      <c r="AO16">
        <v>16.5</v>
      </c>
      <c r="AP16">
        <v>16.5</v>
      </c>
      <c r="AQ16">
        <v>16.5</v>
      </c>
      <c r="AR16">
        <v>16.5</v>
      </c>
      <c r="AS16">
        <v>16.5</v>
      </c>
      <c r="AT16">
        <v>16.5</v>
      </c>
      <c r="AU16">
        <v>16.5</v>
      </c>
      <c r="AV16">
        <v>16.5</v>
      </c>
      <c r="AW16">
        <v>16.5</v>
      </c>
      <c r="AX16">
        <v>16.5</v>
      </c>
      <c r="AY16">
        <v>16.5</v>
      </c>
      <c r="AZ16">
        <v>16.5</v>
      </c>
    </row>
    <row r="17" spans="1:52" x14ac:dyDescent="0.3">
      <c r="A17">
        <v>2</v>
      </c>
      <c r="D17">
        <v>0.5</v>
      </c>
      <c r="F17">
        <v>0.95</v>
      </c>
      <c r="G17">
        <v>1.31</v>
      </c>
      <c r="H17">
        <v>1.81</v>
      </c>
      <c r="I17">
        <v>2.5</v>
      </c>
      <c r="J17">
        <v>3.45</v>
      </c>
      <c r="K17">
        <v>5</v>
      </c>
      <c r="L17">
        <v>7</v>
      </c>
      <c r="M17">
        <v>9.8000000000000007</v>
      </c>
      <c r="N17">
        <v>13.72</v>
      </c>
      <c r="O17">
        <v>19.21</v>
      </c>
      <c r="P17">
        <v>26.89</v>
      </c>
      <c r="Q17">
        <v>37.65</v>
      </c>
      <c r="R17">
        <v>52.71</v>
      </c>
      <c r="S17">
        <v>59.89</v>
      </c>
      <c r="T17">
        <v>64.81</v>
      </c>
      <c r="U17">
        <v>67.55</v>
      </c>
      <c r="V17">
        <v>67.98</v>
      </c>
      <c r="W17">
        <v>63.71</v>
      </c>
      <c r="X17">
        <v>55.56</v>
      </c>
      <c r="Y17">
        <v>43.96</v>
      </c>
      <c r="Z17">
        <v>27.39</v>
      </c>
      <c r="AA17">
        <v>16.5</v>
      </c>
      <c r="AB17">
        <v>16.5</v>
      </c>
      <c r="AC17">
        <v>16.5</v>
      </c>
      <c r="AD17">
        <v>16.5</v>
      </c>
      <c r="AE17">
        <v>16.5</v>
      </c>
      <c r="AF17">
        <v>16.5</v>
      </c>
      <c r="AG17">
        <v>16.5</v>
      </c>
      <c r="AH17">
        <v>16.5</v>
      </c>
      <c r="AI17">
        <v>16.5</v>
      </c>
      <c r="AJ17">
        <v>16.5</v>
      </c>
      <c r="AK17">
        <v>16.5</v>
      </c>
      <c r="AL17">
        <v>16.5</v>
      </c>
      <c r="AM17">
        <v>16.5</v>
      </c>
      <c r="AN17">
        <v>16.5</v>
      </c>
      <c r="AO17">
        <v>16.5</v>
      </c>
      <c r="AP17">
        <v>16.5</v>
      </c>
      <c r="AQ17">
        <v>16.5</v>
      </c>
      <c r="AR17">
        <v>16.5</v>
      </c>
      <c r="AS17">
        <v>16.5</v>
      </c>
      <c r="AT17">
        <v>16.5</v>
      </c>
      <c r="AU17">
        <v>16.5</v>
      </c>
      <c r="AV17">
        <v>16.5</v>
      </c>
      <c r="AW17">
        <v>16.5</v>
      </c>
      <c r="AX17">
        <v>16.5</v>
      </c>
      <c r="AY17">
        <v>16.5</v>
      </c>
      <c r="AZ17">
        <v>16.5</v>
      </c>
    </row>
    <row r="18" spans="1:52" x14ac:dyDescent="0.3">
      <c r="A18">
        <v>3</v>
      </c>
      <c r="L18">
        <v>0.1</v>
      </c>
      <c r="M18">
        <v>0.18</v>
      </c>
      <c r="N18">
        <v>0.32</v>
      </c>
      <c r="O18">
        <v>0.57999999999999996</v>
      </c>
      <c r="P18">
        <v>1.05</v>
      </c>
      <c r="Q18">
        <v>1.89</v>
      </c>
      <c r="R18">
        <v>3.4</v>
      </c>
      <c r="S18">
        <v>5</v>
      </c>
      <c r="T18">
        <v>7</v>
      </c>
      <c r="U18">
        <v>9.8000000000000007</v>
      </c>
      <c r="V18">
        <v>13.72</v>
      </c>
      <c r="W18">
        <v>19.21</v>
      </c>
      <c r="X18">
        <v>26.89</v>
      </c>
      <c r="Y18">
        <v>37.65</v>
      </c>
      <c r="Z18">
        <v>52.71</v>
      </c>
      <c r="AA18">
        <v>62</v>
      </c>
      <c r="AB18">
        <v>59.9</v>
      </c>
      <c r="AC18">
        <v>57.02</v>
      </c>
      <c r="AD18">
        <v>52.96</v>
      </c>
      <c r="AE18">
        <v>47.21</v>
      </c>
      <c r="AF18">
        <v>39.06</v>
      </c>
      <c r="AG18">
        <v>27.46</v>
      </c>
      <c r="AH18">
        <v>16.5</v>
      </c>
      <c r="AI18">
        <v>16.5</v>
      </c>
      <c r="AJ18">
        <v>16.5</v>
      </c>
      <c r="AK18">
        <v>16.5</v>
      </c>
      <c r="AL18">
        <v>16.5</v>
      </c>
      <c r="AM18">
        <v>16.5</v>
      </c>
      <c r="AN18">
        <v>16.5</v>
      </c>
      <c r="AO18">
        <v>16.5</v>
      </c>
      <c r="AP18">
        <v>16.5</v>
      </c>
      <c r="AQ18">
        <v>16.5</v>
      </c>
      <c r="AR18">
        <v>16.5</v>
      </c>
      <c r="AS18">
        <v>16.5</v>
      </c>
      <c r="AT18">
        <v>16.5</v>
      </c>
      <c r="AU18">
        <v>16.5</v>
      </c>
      <c r="AV18">
        <v>16.5</v>
      </c>
      <c r="AW18">
        <v>16.5</v>
      </c>
      <c r="AX18">
        <v>16.5</v>
      </c>
      <c r="AY18">
        <v>16.5</v>
      </c>
      <c r="AZ18">
        <v>16.5</v>
      </c>
    </row>
    <row r="19" spans="1:52" x14ac:dyDescent="0.3">
      <c r="A19">
        <v>4</v>
      </c>
      <c r="T19">
        <v>0.1</v>
      </c>
      <c r="U19">
        <v>0.18</v>
      </c>
      <c r="V19">
        <v>0.32</v>
      </c>
      <c r="W19">
        <v>0.57999999999999996</v>
      </c>
      <c r="X19">
        <v>1.05</v>
      </c>
      <c r="Y19">
        <v>1.89</v>
      </c>
      <c r="Z19">
        <v>3.4</v>
      </c>
      <c r="AA19">
        <v>5</v>
      </c>
      <c r="AB19">
        <v>7</v>
      </c>
      <c r="AC19">
        <v>9.8000000000000007</v>
      </c>
      <c r="AD19">
        <v>13.72</v>
      </c>
      <c r="AE19">
        <v>19.21</v>
      </c>
      <c r="AF19">
        <v>26.89</v>
      </c>
      <c r="AG19">
        <v>37.65</v>
      </c>
      <c r="AH19">
        <v>47.1</v>
      </c>
      <c r="AI19">
        <v>45.5</v>
      </c>
      <c r="AJ19">
        <v>43.4</v>
      </c>
      <c r="AK19">
        <v>40.520000000000003</v>
      </c>
      <c r="AL19">
        <v>36.56</v>
      </c>
      <c r="AM19">
        <v>30.71</v>
      </c>
      <c r="AN19">
        <v>22.56</v>
      </c>
      <c r="AO19">
        <v>16.5</v>
      </c>
      <c r="AP19">
        <v>16.5</v>
      </c>
      <c r="AQ19">
        <v>16.5</v>
      </c>
      <c r="AR19">
        <v>16.5</v>
      </c>
      <c r="AS19">
        <v>16.5</v>
      </c>
      <c r="AT19">
        <v>16.5</v>
      </c>
      <c r="AU19">
        <v>16.5</v>
      </c>
      <c r="AV19">
        <v>16.5</v>
      </c>
      <c r="AW19">
        <v>16.5</v>
      </c>
      <c r="AX19">
        <v>16.5</v>
      </c>
      <c r="AY19">
        <v>16.5</v>
      </c>
      <c r="AZ19">
        <v>16.5</v>
      </c>
    </row>
    <row r="20" spans="1:52" x14ac:dyDescent="0.3">
      <c r="A20">
        <v>5</v>
      </c>
      <c r="AB20">
        <v>0.1</v>
      </c>
      <c r="AC20">
        <v>0.18</v>
      </c>
      <c r="AD20">
        <v>0.32</v>
      </c>
      <c r="AE20">
        <v>0.57999999999999996</v>
      </c>
      <c r="AF20">
        <v>1.05</v>
      </c>
      <c r="AG20">
        <v>1.89</v>
      </c>
      <c r="AH20">
        <v>3.4</v>
      </c>
      <c r="AI20">
        <v>5</v>
      </c>
      <c r="AJ20">
        <v>7</v>
      </c>
      <c r="AK20">
        <v>9.8000000000000007</v>
      </c>
      <c r="AL20">
        <v>13.72</v>
      </c>
      <c r="AM20">
        <v>19.21</v>
      </c>
      <c r="AN20">
        <v>26.89</v>
      </c>
      <c r="AO20">
        <v>32.11</v>
      </c>
      <c r="AP20">
        <v>30.6</v>
      </c>
      <c r="AQ20">
        <v>29</v>
      </c>
      <c r="AR20">
        <v>28.3</v>
      </c>
      <c r="AS20">
        <v>27.5</v>
      </c>
      <c r="AT20">
        <v>26.59</v>
      </c>
      <c r="AU20">
        <v>25.56</v>
      </c>
      <c r="AV20">
        <v>24.37</v>
      </c>
      <c r="AW20">
        <v>23.03</v>
      </c>
      <c r="AX20">
        <v>21.49</v>
      </c>
      <c r="AY20">
        <v>19.739999999999998</v>
      </c>
      <c r="AZ20">
        <v>16.5</v>
      </c>
    </row>
    <row r="21" spans="1:52" x14ac:dyDescent="0.3">
      <c r="A21">
        <v>6</v>
      </c>
      <c r="AJ21">
        <v>0.1</v>
      </c>
      <c r="AK21">
        <v>0.18</v>
      </c>
      <c r="AL21">
        <v>0.32</v>
      </c>
      <c r="AM21">
        <v>0.57999999999999996</v>
      </c>
      <c r="AN21">
        <v>1.05</v>
      </c>
      <c r="AO21">
        <v>1.89</v>
      </c>
      <c r="AP21">
        <v>3.4</v>
      </c>
      <c r="AQ21">
        <v>5</v>
      </c>
      <c r="AR21">
        <v>5.7</v>
      </c>
      <c r="AS21">
        <v>6.5</v>
      </c>
      <c r="AT21">
        <v>7.41</v>
      </c>
      <c r="AU21">
        <v>8.44</v>
      </c>
      <c r="AV21">
        <v>9.6300000000000008</v>
      </c>
      <c r="AW21">
        <v>10.97</v>
      </c>
      <c r="AX21">
        <v>12.51</v>
      </c>
      <c r="AY21">
        <v>14.26</v>
      </c>
      <c r="AZ21">
        <v>16.5</v>
      </c>
    </row>
    <row r="23" spans="1:52" x14ac:dyDescent="0.3">
      <c r="A23" s="1" t="s">
        <v>102</v>
      </c>
    </row>
    <row r="25" spans="1:52" x14ac:dyDescent="0.3">
      <c r="A25" t="s">
        <v>100</v>
      </c>
      <c r="C25">
        <v>100</v>
      </c>
      <c r="D25">
        <v>98</v>
      </c>
      <c r="E25">
        <v>97</v>
      </c>
      <c r="F25">
        <v>95</v>
      </c>
      <c r="G25">
        <v>93</v>
      </c>
      <c r="H25">
        <v>90</v>
      </c>
      <c r="I25">
        <v>86.8</v>
      </c>
      <c r="J25">
        <v>83.7</v>
      </c>
      <c r="K25">
        <v>79.5</v>
      </c>
      <c r="L25">
        <v>75.3</v>
      </c>
      <c r="M25">
        <v>71</v>
      </c>
      <c r="N25">
        <v>66.5</v>
      </c>
      <c r="O25">
        <v>60</v>
      </c>
      <c r="P25">
        <v>53</v>
      </c>
      <c r="Q25">
        <v>45</v>
      </c>
      <c r="R25">
        <v>33</v>
      </c>
      <c r="S25">
        <v>20</v>
      </c>
      <c r="T25">
        <v>17.5</v>
      </c>
      <c r="U25">
        <v>17.5</v>
      </c>
      <c r="V25">
        <v>17.5</v>
      </c>
      <c r="W25">
        <v>17.5</v>
      </c>
      <c r="X25">
        <v>17.5</v>
      </c>
      <c r="Y25">
        <v>17.5</v>
      </c>
      <c r="Z25">
        <v>17.5</v>
      </c>
      <c r="AA25">
        <v>17.5</v>
      </c>
      <c r="AB25">
        <v>17.5</v>
      </c>
      <c r="AC25">
        <v>17.5</v>
      </c>
      <c r="AD25">
        <v>17.5</v>
      </c>
      <c r="AE25">
        <v>17.5</v>
      </c>
      <c r="AF25">
        <v>17.5</v>
      </c>
      <c r="AG25">
        <v>17.5</v>
      </c>
      <c r="AH25">
        <v>17.5</v>
      </c>
      <c r="AI25">
        <v>17.5</v>
      </c>
      <c r="AJ25">
        <v>17.5</v>
      </c>
      <c r="AK25">
        <v>17.5</v>
      </c>
      <c r="AL25">
        <v>17.5</v>
      </c>
      <c r="AM25">
        <v>17.5</v>
      </c>
      <c r="AN25">
        <v>17.5</v>
      </c>
      <c r="AO25">
        <v>17.5</v>
      </c>
      <c r="AP25">
        <v>17.5</v>
      </c>
      <c r="AQ25">
        <v>17.5</v>
      </c>
      <c r="AR25">
        <v>17.5</v>
      </c>
      <c r="AS25">
        <v>17.5</v>
      </c>
      <c r="AT25">
        <v>17.5</v>
      </c>
      <c r="AU25">
        <v>17.5</v>
      </c>
      <c r="AV25">
        <v>17.5</v>
      </c>
      <c r="AW25">
        <v>17.5</v>
      </c>
      <c r="AX25">
        <v>17.5</v>
      </c>
      <c r="AY25">
        <v>17.5</v>
      </c>
      <c r="AZ25">
        <v>17.5</v>
      </c>
    </row>
    <row r="26" spans="1:52" x14ac:dyDescent="0.3">
      <c r="A26" t="s">
        <v>3</v>
      </c>
      <c r="D26">
        <v>2</v>
      </c>
      <c r="E26">
        <v>3</v>
      </c>
      <c r="F26">
        <v>5</v>
      </c>
      <c r="G26">
        <v>7</v>
      </c>
      <c r="H26">
        <v>10</v>
      </c>
      <c r="I26">
        <v>13</v>
      </c>
      <c r="J26">
        <v>16</v>
      </c>
      <c r="K26">
        <v>20</v>
      </c>
      <c r="L26">
        <v>24</v>
      </c>
      <c r="M26">
        <v>28</v>
      </c>
      <c r="N26">
        <v>32</v>
      </c>
      <c r="O26">
        <v>38</v>
      </c>
      <c r="P26">
        <v>44</v>
      </c>
      <c r="Q26">
        <v>50</v>
      </c>
      <c r="R26">
        <v>60</v>
      </c>
      <c r="S26">
        <v>70</v>
      </c>
      <c r="T26">
        <v>69.5</v>
      </c>
      <c r="U26">
        <v>66.5</v>
      </c>
      <c r="V26">
        <v>62.5</v>
      </c>
      <c r="W26">
        <v>58.5</v>
      </c>
      <c r="X26">
        <v>55.5</v>
      </c>
      <c r="Y26">
        <v>50.5</v>
      </c>
      <c r="Z26">
        <v>44.5</v>
      </c>
      <c r="AA26">
        <v>38.49</v>
      </c>
      <c r="AB26">
        <v>32.479999999999997</v>
      </c>
      <c r="AC26">
        <v>22.47</v>
      </c>
      <c r="AD26">
        <v>16.5</v>
      </c>
      <c r="AE26">
        <v>16.5</v>
      </c>
      <c r="AF26">
        <v>16.5</v>
      </c>
      <c r="AG26">
        <v>16.5</v>
      </c>
      <c r="AH26">
        <v>16.5</v>
      </c>
      <c r="AI26">
        <v>16.5</v>
      </c>
      <c r="AJ26">
        <v>16.5</v>
      </c>
      <c r="AK26">
        <v>16.5</v>
      </c>
      <c r="AL26">
        <v>16.5</v>
      </c>
      <c r="AM26">
        <v>16.5</v>
      </c>
      <c r="AN26">
        <v>16.5</v>
      </c>
      <c r="AO26">
        <v>16.5</v>
      </c>
      <c r="AP26">
        <v>16.5</v>
      </c>
      <c r="AQ26">
        <v>16.5</v>
      </c>
      <c r="AR26">
        <v>16.5</v>
      </c>
      <c r="AS26">
        <v>16.5</v>
      </c>
      <c r="AT26">
        <v>16.5</v>
      </c>
      <c r="AU26">
        <v>16.5</v>
      </c>
      <c r="AV26">
        <v>16.5</v>
      </c>
      <c r="AW26">
        <v>16.5</v>
      </c>
      <c r="AX26">
        <v>16.5</v>
      </c>
      <c r="AY26">
        <v>16.5</v>
      </c>
      <c r="AZ26">
        <v>16.5</v>
      </c>
    </row>
    <row r="27" spans="1:52" x14ac:dyDescent="0.3">
      <c r="A27" t="s">
        <v>4</v>
      </c>
      <c r="I27">
        <v>0.2</v>
      </c>
      <c r="J27">
        <v>0.3</v>
      </c>
      <c r="K27">
        <v>0.5</v>
      </c>
      <c r="L27">
        <v>0.7</v>
      </c>
      <c r="M27">
        <v>1</v>
      </c>
      <c r="N27">
        <v>1.5</v>
      </c>
      <c r="O27">
        <v>2</v>
      </c>
      <c r="P27">
        <v>3</v>
      </c>
      <c r="Q27">
        <v>5</v>
      </c>
      <c r="R27">
        <v>7</v>
      </c>
      <c r="S27">
        <v>10</v>
      </c>
      <c r="T27">
        <v>13</v>
      </c>
      <c r="U27">
        <v>16</v>
      </c>
      <c r="V27">
        <v>20</v>
      </c>
      <c r="W27">
        <v>24</v>
      </c>
      <c r="X27">
        <v>28</v>
      </c>
      <c r="Y27">
        <v>32</v>
      </c>
      <c r="Z27">
        <v>38</v>
      </c>
      <c r="AA27">
        <v>44</v>
      </c>
      <c r="AB27">
        <v>50</v>
      </c>
      <c r="AC27">
        <v>60</v>
      </c>
      <c r="AD27">
        <v>65.95</v>
      </c>
      <c r="AE27">
        <v>65.930000000000007</v>
      </c>
      <c r="AF27">
        <v>65.900000000000006</v>
      </c>
      <c r="AG27">
        <v>65.849999999999994</v>
      </c>
      <c r="AH27">
        <v>65.8</v>
      </c>
      <c r="AI27">
        <v>65.7</v>
      </c>
      <c r="AJ27">
        <v>65.5</v>
      </c>
      <c r="AK27">
        <v>65.3</v>
      </c>
      <c r="AL27">
        <v>65</v>
      </c>
      <c r="AM27">
        <v>64.5</v>
      </c>
      <c r="AN27">
        <v>64</v>
      </c>
      <c r="AO27">
        <v>63</v>
      </c>
      <c r="AP27">
        <v>61</v>
      </c>
      <c r="AQ27">
        <v>59</v>
      </c>
      <c r="AR27">
        <v>56</v>
      </c>
      <c r="AS27">
        <v>53</v>
      </c>
      <c r="AT27">
        <v>50</v>
      </c>
      <c r="AU27">
        <v>46</v>
      </c>
      <c r="AV27">
        <v>42</v>
      </c>
      <c r="AW27">
        <v>38</v>
      </c>
      <c r="AX27">
        <v>31</v>
      </c>
      <c r="AY27">
        <v>28</v>
      </c>
      <c r="AZ27">
        <v>21.99</v>
      </c>
    </row>
    <row r="28" spans="1:52" x14ac:dyDescent="0.3">
      <c r="A28" t="s">
        <v>5</v>
      </c>
      <c r="AA28">
        <v>0.01</v>
      </c>
      <c r="AB28">
        <v>0.02</v>
      </c>
      <c r="AC28">
        <v>0.03</v>
      </c>
      <c r="AD28">
        <v>0.05</v>
      </c>
      <c r="AE28">
        <v>7.0000000000000007E-2</v>
      </c>
      <c r="AF28">
        <v>0.1</v>
      </c>
      <c r="AG28">
        <v>1.5</v>
      </c>
      <c r="AH28">
        <v>0.2</v>
      </c>
      <c r="AI28">
        <v>0.3</v>
      </c>
      <c r="AJ28">
        <v>0.5</v>
      </c>
      <c r="AK28">
        <v>0.7</v>
      </c>
      <c r="AL28">
        <v>1</v>
      </c>
      <c r="AM28">
        <v>1.5</v>
      </c>
      <c r="AN28">
        <v>2</v>
      </c>
      <c r="AO28">
        <v>3</v>
      </c>
      <c r="AP28">
        <v>5</v>
      </c>
      <c r="AQ28">
        <v>7</v>
      </c>
      <c r="AR28">
        <v>10</v>
      </c>
      <c r="AS28">
        <v>13</v>
      </c>
      <c r="AT28">
        <v>16</v>
      </c>
      <c r="AU28">
        <v>20</v>
      </c>
      <c r="AV28">
        <v>24</v>
      </c>
      <c r="AW28">
        <v>28</v>
      </c>
      <c r="AX28">
        <v>32</v>
      </c>
      <c r="AY28">
        <v>38</v>
      </c>
      <c r="AZ28">
        <v>44</v>
      </c>
    </row>
    <row r="29" spans="1:52" x14ac:dyDescent="0.3">
      <c r="A29" t="s">
        <v>6</v>
      </c>
      <c r="AZ29">
        <v>0.01</v>
      </c>
    </row>
    <row r="30" spans="1:52" x14ac:dyDescent="0.3">
      <c r="A30" t="s">
        <v>7</v>
      </c>
    </row>
    <row r="32" spans="1:52" x14ac:dyDescent="0.3">
      <c r="A32" s="1" t="s">
        <v>103</v>
      </c>
    </row>
    <row r="34" spans="1:52" x14ac:dyDescent="0.3">
      <c r="A34" t="s">
        <v>100</v>
      </c>
      <c r="C34">
        <v>100</v>
      </c>
      <c r="D34">
        <v>99.5</v>
      </c>
      <c r="E34">
        <v>99.3</v>
      </c>
      <c r="F34">
        <v>99.1</v>
      </c>
      <c r="G34">
        <v>98.7</v>
      </c>
      <c r="H34">
        <v>98.2</v>
      </c>
      <c r="I34">
        <v>97.5</v>
      </c>
      <c r="J34">
        <v>96.6</v>
      </c>
      <c r="K34">
        <v>95</v>
      </c>
      <c r="L34">
        <v>92.9</v>
      </c>
      <c r="M34">
        <v>90</v>
      </c>
      <c r="N34">
        <v>86</v>
      </c>
      <c r="O34">
        <v>80.2</v>
      </c>
      <c r="P34">
        <v>72.099999999999994</v>
      </c>
      <c r="Q34">
        <v>60.5</v>
      </c>
      <c r="R34">
        <v>43.9</v>
      </c>
      <c r="S34">
        <v>35.1</v>
      </c>
      <c r="T34">
        <v>28.1</v>
      </c>
      <c r="U34">
        <v>22.5</v>
      </c>
      <c r="V34">
        <v>18</v>
      </c>
      <c r="W34">
        <v>16.5</v>
      </c>
      <c r="X34">
        <v>16.5</v>
      </c>
      <c r="Y34">
        <v>16.5</v>
      </c>
      <c r="Z34">
        <v>16.5</v>
      </c>
      <c r="AA34">
        <v>16.5</v>
      </c>
      <c r="AB34">
        <v>16.5</v>
      </c>
      <c r="AC34">
        <v>16.5</v>
      </c>
      <c r="AD34">
        <v>16.5</v>
      </c>
      <c r="AE34">
        <v>16.5</v>
      </c>
      <c r="AF34">
        <v>16.5</v>
      </c>
      <c r="AG34">
        <v>16.5</v>
      </c>
      <c r="AH34">
        <v>16.5</v>
      </c>
      <c r="AI34">
        <v>16.5</v>
      </c>
      <c r="AJ34">
        <v>16.5</v>
      </c>
      <c r="AK34">
        <v>16.5</v>
      </c>
      <c r="AL34">
        <v>16.5</v>
      </c>
      <c r="AM34">
        <v>16.5</v>
      </c>
      <c r="AN34">
        <v>16.5</v>
      </c>
      <c r="AO34">
        <v>16.5</v>
      </c>
      <c r="AP34">
        <v>16.5</v>
      </c>
      <c r="AQ34">
        <v>16.5</v>
      </c>
      <c r="AR34">
        <v>16.5</v>
      </c>
      <c r="AS34">
        <v>16.5</v>
      </c>
      <c r="AT34">
        <v>16.5</v>
      </c>
      <c r="AU34">
        <v>16.5</v>
      </c>
      <c r="AV34">
        <v>16.5</v>
      </c>
      <c r="AW34">
        <v>16.5</v>
      </c>
      <c r="AX34">
        <v>16.5</v>
      </c>
      <c r="AY34">
        <v>16.5</v>
      </c>
      <c r="AZ34">
        <v>16.5</v>
      </c>
    </row>
    <row r="35" spans="1:52" x14ac:dyDescent="0.3">
      <c r="A35" t="s">
        <v>3</v>
      </c>
      <c r="D35">
        <v>0.5</v>
      </c>
      <c r="E35">
        <v>0.7</v>
      </c>
      <c r="F35">
        <v>0.1</v>
      </c>
      <c r="G35">
        <v>1.3</v>
      </c>
      <c r="H35">
        <v>1.8</v>
      </c>
      <c r="I35">
        <v>2.5</v>
      </c>
      <c r="J35">
        <v>3.5</v>
      </c>
      <c r="K35">
        <v>5</v>
      </c>
      <c r="L35">
        <v>7</v>
      </c>
      <c r="M35">
        <v>9.8000000000000007</v>
      </c>
      <c r="N35">
        <v>13.7</v>
      </c>
      <c r="O35">
        <v>19.2</v>
      </c>
      <c r="P35">
        <v>26.9</v>
      </c>
      <c r="Q35">
        <v>37.700000000000003</v>
      </c>
      <c r="R35">
        <v>52.7</v>
      </c>
      <c r="S35">
        <v>59.9</v>
      </c>
      <c r="T35">
        <v>64.8</v>
      </c>
      <c r="U35">
        <v>67.599999999999994</v>
      </c>
      <c r="V35">
        <v>68</v>
      </c>
      <c r="W35">
        <v>63.7</v>
      </c>
      <c r="X35">
        <v>55.6</v>
      </c>
      <c r="Y35">
        <v>44</v>
      </c>
      <c r="Z35">
        <v>27.4</v>
      </c>
      <c r="AA35">
        <v>16.5</v>
      </c>
      <c r="AB35">
        <v>16.5</v>
      </c>
      <c r="AC35">
        <v>16.5</v>
      </c>
      <c r="AD35">
        <v>16.5</v>
      </c>
      <c r="AE35">
        <v>16.5</v>
      </c>
      <c r="AF35">
        <v>16.5</v>
      </c>
      <c r="AG35">
        <v>16.5</v>
      </c>
      <c r="AH35">
        <v>16.5</v>
      </c>
      <c r="AI35">
        <v>16.5</v>
      </c>
      <c r="AJ35">
        <v>16.5</v>
      </c>
      <c r="AK35">
        <v>16.5</v>
      </c>
      <c r="AL35">
        <v>16.5</v>
      </c>
      <c r="AM35">
        <v>16.5</v>
      </c>
      <c r="AN35">
        <v>16.5</v>
      </c>
      <c r="AO35">
        <v>16.5</v>
      </c>
      <c r="AP35">
        <v>16.5</v>
      </c>
      <c r="AQ35">
        <v>16.5</v>
      </c>
      <c r="AR35">
        <v>16.5</v>
      </c>
      <c r="AS35">
        <v>16.5</v>
      </c>
      <c r="AT35">
        <v>16.5</v>
      </c>
      <c r="AU35">
        <v>16.5</v>
      </c>
      <c r="AV35">
        <v>16.5</v>
      </c>
      <c r="AW35">
        <v>16.5</v>
      </c>
      <c r="AX35">
        <v>16.5</v>
      </c>
      <c r="AY35">
        <v>16.5</v>
      </c>
      <c r="AZ35">
        <v>16.5</v>
      </c>
    </row>
    <row r="36" spans="1:52" x14ac:dyDescent="0.3">
      <c r="A36" t="s">
        <v>4</v>
      </c>
      <c r="L36">
        <v>0.1</v>
      </c>
      <c r="M36">
        <v>0.2</v>
      </c>
      <c r="N36">
        <v>0.3</v>
      </c>
      <c r="O36">
        <v>0.6</v>
      </c>
      <c r="P36">
        <v>1.1000000000000001</v>
      </c>
      <c r="Q36">
        <v>1.9</v>
      </c>
      <c r="R36">
        <v>3.4</v>
      </c>
      <c r="S36">
        <v>5</v>
      </c>
      <c r="T36">
        <v>7</v>
      </c>
      <c r="U36">
        <v>9.8000000000000007</v>
      </c>
      <c r="V36">
        <v>13.7</v>
      </c>
      <c r="W36">
        <v>19.2</v>
      </c>
      <c r="X36">
        <v>26.9</v>
      </c>
      <c r="Y36">
        <v>37.700000000000003</v>
      </c>
      <c r="Z36">
        <v>52.7</v>
      </c>
      <c r="AA36">
        <v>62</v>
      </c>
      <c r="AB36">
        <v>59.9</v>
      </c>
      <c r="AC36">
        <v>57</v>
      </c>
      <c r="AD36">
        <v>53</v>
      </c>
      <c r="AE36">
        <v>47.2</v>
      </c>
      <c r="AF36">
        <v>39.1</v>
      </c>
      <c r="AG36">
        <v>27.5</v>
      </c>
      <c r="AH36">
        <v>16.5</v>
      </c>
      <c r="AI36">
        <v>16.5</v>
      </c>
      <c r="AJ36">
        <v>16.5</v>
      </c>
      <c r="AK36">
        <v>16.5</v>
      </c>
      <c r="AL36">
        <v>16.5</v>
      </c>
      <c r="AM36">
        <v>16.5</v>
      </c>
      <c r="AN36">
        <v>16.5</v>
      </c>
      <c r="AO36">
        <v>16.5</v>
      </c>
      <c r="AP36">
        <v>16.5</v>
      </c>
      <c r="AQ36">
        <v>16.5</v>
      </c>
      <c r="AR36">
        <v>16.5</v>
      </c>
      <c r="AS36">
        <v>16.5</v>
      </c>
      <c r="AT36">
        <v>16.5</v>
      </c>
      <c r="AU36">
        <v>16.5</v>
      </c>
      <c r="AV36">
        <v>16.5</v>
      </c>
      <c r="AW36">
        <v>16.5</v>
      </c>
      <c r="AX36">
        <v>16.5</v>
      </c>
      <c r="AY36">
        <v>16.5</v>
      </c>
      <c r="AZ36">
        <v>16.5</v>
      </c>
    </row>
    <row r="37" spans="1:52" x14ac:dyDescent="0.3">
      <c r="A37" t="s">
        <v>5</v>
      </c>
      <c r="T37">
        <v>0.1</v>
      </c>
      <c r="U37">
        <v>0.2</v>
      </c>
      <c r="V37">
        <v>0.3</v>
      </c>
      <c r="W37">
        <v>0.6</v>
      </c>
      <c r="X37">
        <v>1.1000000000000001</v>
      </c>
      <c r="Y37">
        <v>1.9</v>
      </c>
      <c r="Z37">
        <v>3.4</v>
      </c>
      <c r="AA37">
        <v>5</v>
      </c>
      <c r="AB37">
        <v>7</v>
      </c>
      <c r="AC37">
        <v>9.8000000000000007</v>
      </c>
      <c r="AD37">
        <v>13.7</v>
      </c>
      <c r="AE37">
        <v>19.2</v>
      </c>
      <c r="AF37">
        <v>26.9</v>
      </c>
      <c r="AG37">
        <v>37.700000000000003</v>
      </c>
      <c r="AH37">
        <v>47.1</v>
      </c>
      <c r="AI37">
        <v>45.5</v>
      </c>
      <c r="AJ37">
        <v>43.4</v>
      </c>
      <c r="AK37">
        <v>40.5</v>
      </c>
      <c r="AL37">
        <v>36.5</v>
      </c>
      <c r="AM37">
        <v>30.7</v>
      </c>
      <c r="AN37">
        <v>22.6</v>
      </c>
      <c r="AO37">
        <v>16.5</v>
      </c>
      <c r="AP37">
        <v>16.5</v>
      </c>
      <c r="AQ37">
        <v>16.5</v>
      </c>
      <c r="AR37">
        <v>16.5</v>
      </c>
      <c r="AS37">
        <v>16.5</v>
      </c>
      <c r="AT37">
        <v>16.5</v>
      </c>
      <c r="AU37">
        <v>16.5</v>
      </c>
      <c r="AV37">
        <v>16.5</v>
      </c>
      <c r="AW37">
        <v>16.5</v>
      </c>
      <c r="AX37">
        <v>16.5</v>
      </c>
      <c r="AY37">
        <v>16.5</v>
      </c>
      <c r="AZ37">
        <v>16.5</v>
      </c>
    </row>
    <row r="38" spans="1:52" x14ac:dyDescent="0.3">
      <c r="A38" t="s">
        <v>6</v>
      </c>
      <c r="AB38">
        <v>0.1</v>
      </c>
      <c r="AC38">
        <v>0.2</v>
      </c>
      <c r="AD38">
        <v>0.3</v>
      </c>
      <c r="AE38">
        <v>0.6</v>
      </c>
      <c r="AF38">
        <v>1.1000000000000001</v>
      </c>
      <c r="AG38">
        <v>1.9</v>
      </c>
      <c r="AH38">
        <v>3.4</v>
      </c>
      <c r="AI38">
        <v>5</v>
      </c>
      <c r="AJ38">
        <v>7</v>
      </c>
      <c r="AK38">
        <v>9.8000000000000007</v>
      </c>
      <c r="AL38">
        <v>13.7</v>
      </c>
      <c r="AM38">
        <v>19.2</v>
      </c>
      <c r="AN38">
        <v>26.9</v>
      </c>
      <c r="AO38">
        <v>32.1</v>
      </c>
      <c r="AP38">
        <v>30.6</v>
      </c>
      <c r="AQ38">
        <v>29</v>
      </c>
      <c r="AR38">
        <v>28.3</v>
      </c>
      <c r="AS38">
        <v>27.5</v>
      </c>
      <c r="AT38">
        <v>26.6</v>
      </c>
      <c r="AU38">
        <v>25.6</v>
      </c>
      <c r="AV38">
        <v>24.4</v>
      </c>
      <c r="AW38">
        <v>23</v>
      </c>
      <c r="AX38">
        <v>21.5</v>
      </c>
      <c r="AY38">
        <v>19.7</v>
      </c>
      <c r="AZ38">
        <v>16.5</v>
      </c>
    </row>
    <row r="39" spans="1:52" x14ac:dyDescent="0.3">
      <c r="A39" t="s">
        <v>7</v>
      </c>
      <c r="AJ39">
        <v>0.1</v>
      </c>
      <c r="AK39">
        <v>0.2</v>
      </c>
      <c r="AL39">
        <v>0.3</v>
      </c>
      <c r="AM39">
        <v>0.6</v>
      </c>
      <c r="AN39">
        <v>1.1000000000000001</v>
      </c>
      <c r="AO39">
        <v>1.9</v>
      </c>
      <c r="AP39">
        <v>3.4</v>
      </c>
      <c r="AQ39">
        <v>5</v>
      </c>
      <c r="AR39">
        <v>5.7</v>
      </c>
      <c r="AS39">
        <v>6.5</v>
      </c>
      <c r="AT39">
        <v>7.4</v>
      </c>
      <c r="AU39">
        <v>8.4</v>
      </c>
      <c r="AV39">
        <v>9.6</v>
      </c>
      <c r="AW39">
        <v>11</v>
      </c>
      <c r="AX39">
        <v>12.5</v>
      </c>
      <c r="AY39">
        <v>14.3</v>
      </c>
      <c r="AZ39">
        <v>16.5</v>
      </c>
    </row>
    <row r="41" spans="1:52" x14ac:dyDescent="0.3">
      <c r="A41" s="1" t="s">
        <v>104</v>
      </c>
    </row>
    <row r="43" spans="1:52" x14ac:dyDescent="0.3">
      <c r="A43" t="s">
        <v>47</v>
      </c>
      <c r="C43">
        <v>95.2</v>
      </c>
      <c r="D43">
        <v>90.5</v>
      </c>
      <c r="E43">
        <v>86.2</v>
      </c>
      <c r="F43">
        <v>82.3</v>
      </c>
      <c r="G43">
        <v>78.8</v>
      </c>
      <c r="H43">
        <v>75.5</v>
      </c>
      <c r="I43">
        <v>72.400000000000006</v>
      </c>
      <c r="N43">
        <v>58.7</v>
      </c>
      <c r="O43">
        <v>55.3</v>
      </c>
      <c r="P43">
        <v>52.2</v>
      </c>
      <c r="Q43">
        <v>49.5</v>
      </c>
      <c r="R43">
        <v>47.1</v>
      </c>
      <c r="S43">
        <v>44.8</v>
      </c>
      <c r="T43">
        <v>42.8</v>
      </c>
      <c r="U43">
        <v>41</v>
      </c>
      <c r="V43">
        <v>39.299999999999997</v>
      </c>
      <c r="W43">
        <v>38.5</v>
      </c>
      <c r="X43">
        <v>37</v>
      </c>
      <c r="Y43">
        <v>35.6</v>
      </c>
      <c r="Z43">
        <v>34.299999999999997</v>
      </c>
      <c r="AA43">
        <v>33.1</v>
      </c>
      <c r="AB43">
        <v>32.5</v>
      </c>
      <c r="AC43">
        <v>31.9</v>
      </c>
      <c r="AD43">
        <v>31.4</v>
      </c>
      <c r="AE43">
        <v>30.9</v>
      </c>
      <c r="AF43">
        <v>30.4</v>
      </c>
      <c r="AG43">
        <v>30.3</v>
      </c>
      <c r="AH43">
        <v>29.8</v>
      </c>
      <c r="AI43">
        <v>29.3</v>
      </c>
      <c r="AJ43">
        <v>28.9</v>
      </c>
      <c r="AL43">
        <v>28</v>
      </c>
    </row>
    <row r="44" spans="1:52" x14ac:dyDescent="0.3">
      <c r="A44" t="s">
        <v>48</v>
      </c>
      <c r="C44">
        <v>4.8</v>
      </c>
      <c r="D44">
        <v>91</v>
      </c>
      <c r="E44">
        <v>12.9</v>
      </c>
      <c r="F44">
        <v>16.5</v>
      </c>
      <c r="G44">
        <v>19.7</v>
      </c>
      <c r="H44">
        <v>22.6</v>
      </c>
      <c r="I44">
        <v>25.4</v>
      </c>
      <c r="N44">
        <v>35.200000000000003</v>
      </c>
      <c r="O44">
        <v>35.9</v>
      </c>
      <c r="P44">
        <v>36.6</v>
      </c>
      <c r="Q44">
        <v>37.1</v>
      </c>
      <c r="R44">
        <v>37.6</v>
      </c>
      <c r="S44">
        <v>38.1</v>
      </c>
      <c r="T44">
        <v>38.5</v>
      </c>
      <c r="U44">
        <v>28.9</v>
      </c>
      <c r="V44">
        <v>39.299999999999997</v>
      </c>
      <c r="W44">
        <v>38.5</v>
      </c>
      <c r="X44">
        <v>37</v>
      </c>
      <c r="Y44">
        <v>35.6</v>
      </c>
      <c r="Z44">
        <v>34.299999999999997</v>
      </c>
      <c r="AA44">
        <v>33.1</v>
      </c>
      <c r="AB44">
        <v>32.5</v>
      </c>
      <c r="AC44">
        <v>31.9</v>
      </c>
      <c r="AD44">
        <v>31.4</v>
      </c>
      <c r="AE44">
        <v>30.9</v>
      </c>
      <c r="AF44">
        <v>30.4</v>
      </c>
      <c r="AG44">
        <v>30.3</v>
      </c>
      <c r="AH44">
        <v>29.8</v>
      </c>
      <c r="AI44">
        <v>29.3</v>
      </c>
      <c r="AJ44">
        <v>28.9</v>
      </c>
      <c r="AL44">
        <v>28</v>
      </c>
    </row>
    <row r="45" spans="1:52" x14ac:dyDescent="0.3">
      <c r="A45" t="s">
        <v>49</v>
      </c>
      <c r="D45">
        <v>0.5</v>
      </c>
      <c r="E45">
        <v>0.8</v>
      </c>
      <c r="F45">
        <v>1.2</v>
      </c>
      <c r="G45">
        <v>1.6</v>
      </c>
      <c r="H45">
        <v>1.9</v>
      </c>
      <c r="I45">
        <v>2.2000000000000002</v>
      </c>
      <c r="N45">
        <v>5.9</v>
      </c>
      <c r="O45">
        <v>8.3000000000000007</v>
      </c>
      <c r="P45">
        <v>10.4</v>
      </c>
      <c r="Q45">
        <v>12.4</v>
      </c>
      <c r="R45">
        <v>14.1</v>
      </c>
      <c r="S45">
        <v>15.7</v>
      </c>
      <c r="T45">
        <v>17.100000000000001</v>
      </c>
      <c r="U45">
        <v>18.399999999999999</v>
      </c>
      <c r="V45">
        <v>19.600000000000001</v>
      </c>
      <c r="W45">
        <v>21.1</v>
      </c>
      <c r="X45">
        <v>22.2</v>
      </c>
      <c r="Y45">
        <v>23.1</v>
      </c>
      <c r="Z45">
        <v>24</v>
      </c>
      <c r="AA45">
        <v>24.8</v>
      </c>
      <c r="AB45">
        <v>24.4</v>
      </c>
      <c r="AC45">
        <v>24</v>
      </c>
      <c r="AD45">
        <v>23.5</v>
      </c>
      <c r="AE45">
        <v>23.1</v>
      </c>
      <c r="AF45">
        <v>22.8</v>
      </c>
      <c r="AG45">
        <v>22.7</v>
      </c>
      <c r="AH45">
        <v>22.3</v>
      </c>
      <c r="AI45">
        <v>22</v>
      </c>
      <c r="AJ45">
        <v>21.6</v>
      </c>
      <c r="AL45">
        <v>21</v>
      </c>
    </row>
    <row r="46" spans="1:52" x14ac:dyDescent="0.3">
      <c r="A46" t="s">
        <v>50</v>
      </c>
      <c r="N46">
        <v>0.3</v>
      </c>
      <c r="O46">
        <v>0.6</v>
      </c>
      <c r="P46">
        <v>0.8</v>
      </c>
      <c r="Q46">
        <v>1</v>
      </c>
      <c r="R46">
        <v>1.2</v>
      </c>
      <c r="S46">
        <v>1.3</v>
      </c>
      <c r="T46">
        <v>1.5</v>
      </c>
      <c r="U46">
        <v>1.6</v>
      </c>
      <c r="V46">
        <v>1.8</v>
      </c>
      <c r="W46">
        <v>1.9</v>
      </c>
      <c r="X46">
        <v>3.7</v>
      </c>
      <c r="Y46">
        <v>5.3</v>
      </c>
      <c r="Z46">
        <v>6.9</v>
      </c>
      <c r="AA46">
        <v>8.3000000000000007</v>
      </c>
      <c r="AB46">
        <v>9.8000000000000007</v>
      </c>
      <c r="AC46">
        <v>11.2</v>
      </c>
      <c r="AD46">
        <v>12.6</v>
      </c>
      <c r="AE46">
        <v>13.9</v>
      </c>
      <c r="AF46">
        <v>15.2</v>
      </c>
      <c r="AG46">
        <v>15.2</v>
      </c>
      <c r="AH46">
        <v>14.9</v>
      </c>
      <c r="AI46">
        <v>14.7</v>
      </c>
      <c r="AJ46">
        <v>14.4</v>
      </c>
      <c r="AL46">
        <v>10</v>
      </c>
    </row>
    <row r="47" spans="1:52" x14ac:dyDescent="0.3">
      <c r="A47" t="s">
        <v>105</v>
      </c>
      <c r="X47">
        <v>0.2</v>
      </c>
      <c r="Y47">
        <v>0.4</v>
      </c>
      <c r="Z47">
        <v>0.5</v>
      </c>
      <c r="AA47">
        <v>0.7</v>
      </c>
      <c r="AB47">
        <v>0.8</v>
      </c>
      <c r="AC47">
        <v>1</v>
      </c>
      <c r="AD47">
        <v>1.1000000000000001</v>
      </c>
      <c r="AE47">
        <v>1.2</v>
      </c>
      <c r="AF47">
        <v>1.4</v>
      </c>
      <c r="AG47">
        <v>1.5</v>
      </c>
      <c r="AH47">
        <v>3</v>
      </c>
      <c r="AI47">
        <v>4.4000000000000004</v>
      </c>
      <c r="AJ47">
        <v>5.8</v>
      </c>
      <c r="AL47">
        <v>8.4</v>
      </c>
    </row>
    <row r="48" spans="1:52" x14ac:dyDescent="0.3">
      <c r="A48" t="s">
        <v>52</v>
      </c>
      <c r="AH48">
        <v>0.2</v>
      </c>
      <c r="AI48">
        <v>0.3</v>
      </c>
      <c r="AJ48">
        <v>0.4</v>
      </c>
      <c r="AL48">
        <v>0.7</v>
      </c>
    </row>
    <row r="49" spans="1:52" x14ac:dyDescent="0.3">
      <c r="A49" t="s">
        <v>53</v>
      </c>
    </row>
    <row r="51" spans="1:52" x14ac:dyDescent="0.3">
      <c r="A51" s="1" t="s">
        <v>99</v>
      </c>
    </row>
    <row r="52" spans="1:52" x14ac:dyDescent="0.3">
      <c r="C52">
        <v>51</v>
      </c>
      <c r="D52">
        <v>52</v>
      </c>
      <c r="E52">
        <v>53</v>
      </c>
      <c r="F52">
        <v>54</v>
      </c>
      <c r="G52">
        <v>55</v>
      </c>
      <c r="H52">
        <v>56</v>
      </c>
      <c r="I52">
        <v>57</v>
      </c>
      <c r="J52">
        <v>58</v>
      </c>
      <c r="K52">
        <v>59</v>
      </c>
      <c r="L52">
        <v>60</v>
      </c>
      <c r="M52">
        <v>61</v>
      </c>
      <c r="N52">
        <v>62</v>
      </c>
      <c r="O52">
        <v>63</v>
      </c>
      <c r="P52">
        <v>64</v>
      </c>
      <c r="Q52">
        <v>65</v>
      </c>
      <c r="R52">
        <v>66</v>
      </c>
      <c r="S52">
        <v>67</v>
      </c>
      <c r="T52">
        <v>68</v>
      </c>
      <c r="U52">
        <v>69</v>
      </c>
      <c r="V52">
        <v>70</v>
      </c>
      <c r="W52">
        <v>71</v>
      </c>
      <c r="X52">
        <v>72</v>
      </c>
      <c r="Y52">
        <v>73</v>
      </c>
      <c r="Z52">
        <v>74</v>
      </c>
      <c r="AA52">
        <v>75</v>
      </c>
      <c r="AB52">
        <v>76</v>
      </c>
      <c r="AC52">
        <v>77</v>
      </c>
      <c r="AD52">
        <v>78</v>
      </c>
      <c r="AE52">
        <v>79</v>
      </c>
      <c r="AF52">
        <v>80</v>
      </c>
      <c r="AG52">
        <v>81</v>
      </c>
      <c r="AH52">
        <v>82</v>
      </c>
      <c r="AI52">
        <v>83</v>
      </c>
      <c r="AJ52">
        <v>84</v>
      </c>
      <c r="AK52">
        <v>85</v>
      </c>
      <c r="AL52">
        <v>86</v>
      </c>
      <c r="AM52">
        <v>87</v>
      </c>
      <c r="AN52">
        <v>88</v>
      </c>
      <c r="AO52">
        <v>89</v>
      </c>
      <c r="AP52">
        <v>90</v>
      </c>
      <c r="AQ52">
        <v>91</v>
      </c>
      <c r="AR52">
        <v>92</v>
      </c>
      <c r="AS52">
        <v>93</v>
      </c>
      <c r="AT52">
        <v>94</v>
      </c>
      <c r="AU52">
        <v>95</v>
      </c>
      <c r="AV52">
        <v>96</v>
      </c>
      <c r="AW52">
        <v>97</v>
      </c>
      <c r="AX52">
        <v>98</v>
      </c>
      <c r="AY52">
        <v>99</v>
      </c>
      <c r="AZ52">
        <v>100</v>
      </c>
    </row>
    <row r="53" spans="1:52" x14ac:dyDescent="0.3">
      <c r="A53" t="s">
        <v>100</v>
      </c>
    </row>
    <row r="54" spans="1:52" x14ac:dyDescent="0.3">
      <c r="A54" t="s">
        <v>3</v>
      </c>
    </row>
    <row r="55" spans="1:52" x14ac:dyDescent="0.3">
      <c r="A55" t="s">
        <v>4</v>
      </c>
    </row>
    <row r="56" spans="1:52" x14ac:dyDescent="0.3">
      <c r="A56" t="s">
        <v>5</v>
      </c>
    </row>
    <row r="57" spans="1:52" x14ac:dyDescent="0.3">
      <c r="A57" t="s">
        <v>6</v>
      </c>
      <c r="C57">
        <v>70.739999999999995</v>
      </c>
      <c r="D57">
        <v>66.42</v>
      </c>
      <c r="E57">
        <v>57.97</v>
      </c>
      <c r="F57">
        <v>49.45</v>
      </c>
      <c r="G57">
        <v>40.81</v>
      </c>
      <c r="H57">
        <v>31.9</v>
      </c>
    </row>
    <row r="58" spans="1:52" x14ac:dyDescent="0.3">
      <c r="A58" t="s">
        <v>7</v>
      </c>
      <c r="C58">
        <v>28</v>
      </c>
      <c r="D58">
        <v>32</v>
      </c>
      <c r="E58">
        <v>40</v>
      </c>
      <c r="F58">
        <v>48</v>
      </c>
      <c r="G58">
        <v>56</v>
      </c>
      <c r="H58">
        <v>64</v>
      </c>
      <c r="I58">
        <v>94.87</v>
      </c>
      <c r="J58">
        <v>93.59</v>
      </c>
      <c r="K58">
        <v>91.75</v>
      </c>
      <c r="L58">
        <v>89.68</v>
      </c>
      <c r="M58">
        <v>87.6</v>
      </c>
      <c r="N58">
        <v>85.5</v>
      </c>
      <c r="O58">
        <v>83.37</v>
      </c>
      <c r="P58">
        <v>79.22</v>
      </c>
      <c r="Q58">
        <v>74.989999999999995</v>
      </c>
      <c r="R58">
        <v>70.739999999999995</v>
      </c>
      <c r="S58">
        <v>66.42</v>
      </c>
      <c r="T58">
        <v>57.97</v>
      </c>
      <c r="U58">
        <v>49.45</v>
      </c>
      <c r="V58">
        <v>40.81</v>
      </c>
      <c r="W58">
        <v>31.9</v>
      </c>
    </row>
    <row r="59" spans="1:52" x14ac:dyDescent="0.3">
      <c r="A59" t="s">
        <v>8</v>
      </c>
      <c r="C59">
        <v>1.25</v>
      </c>
      <c r="D59">
        <v>1.56</v>
      </c>
      <c r="E59">
        <v>2</v>
      </c>
      <c r="F59">
        <v>2.5</v>
      </c>
      <c r="G59">
        <v>3.12</v>
      </c>
      <c r="H59">
        <v>4</v>
      </c>
      <c r="I59">
        <v>5</v>
      </c>
      <c r="J59">
        <v>6.25</v>
      </c>
      <c r="K59">
        <v>8</v>
      </c>
      <c r="L59">
        <v>10</v>
      </c>
      <c r="M59">
        <v>12</v>
      </c>
      <c r="N59">
        <v>14</v>
      </c>
      <c r="O59">
        <v>16</v>
      </c>
      <c r="P59">
        <v>20</v>
      </c>
      <c r="Q59">
        <v>24</v>
      </c>
      <c r="R59">
        <v>28</v>
      </c>
      <c r="S59">
        <v>32</v>
      </c>
      <c r="T59">
        <v>40</v>
      </c>
      <c r="U59">
        <v>48</v>
      </c>
      <c r="V59">
        <v>56</v>
      </c>
      <c r="W59">
        <v>64</v>
      </c>
      <c r="X59">
        <v>94.87</v>
      </c>
      <c r="Y59">
        <v>93.59</v>
      </c>
      <c r="Z59">
        <v>91.75</v>
      </c>
      <c r="AA59">
        <v>89.68</v>
      </c>
      <c r="AB59">
        <v>87.6</v>
      </c>
      <c r="AC59">
        <v>85.5</v>
      </c>
      <c r="AD59">
        <v>83.37</v>
      </c>
      <c r="AE59">
        <v>79.22</v>
      </c>
      <c r="AF59">
        <v>75</v>
      </c>
      <c r="AG59">
        <v>70.75</v>
      </c>
      <c r="AH59">
        <v>66.44</v>
      </c>
      <c r="AI59">
        <v>58</v>
      </c>
      <c r="AJ59">
        <v>49.5</v>
      </c>
      <c r="AK59">
        <v>40.869999999999997</v>
      </c>
      <c r="AL59">
        <v>31.99</v>
      </c>
    </row>
    <row r="60" spans="1:52" x14ac:dyDescent="0.3">
      <c r="A60" t="s">
        <v>9</v>
      </c>
      <c r="C60">
        <v>0.01</v>
      </c>
      <c r="D60">
        <v>0.02</v>
      </c>
      <c r="E60">
        <v>0.03</v>
      </c>
      <c r="F60">
        <v>0.05</v>
      </c>
      <c r="G60">
        <v>7.0000000000000007E-2</v>
      </c>
      <c r="H60">
        <v>0.1</v>
      </c>
      <c r="I60">
        <v>0.13</v>
      </c>
      <c r="J60">
        <v>0.16</v>
      </c>
      <c r="K60">
        <v>0.25</v>
      </c>
      <c r="L60">
        <v>0.32</v>
      </c>
      <c r="M60">
        <v>0.04</v>
      </c>
      <c r="N60">
        <v>0.5</v>
      </c>
      <c r="O60">
        <v>0.63</v>
      </c>
      <c r="P60">
        <v>0.78</v>
      </c>
      <c r="Q60">
        <v>1</v>
      </c>
      <c r="R60">
        <v>1.25</v>
      </c>
      <c r="S60">
        <v>1.56</v>
      </c>
      <c r="T60">
        <v>2</v>
      </c>
      <c r="U60">
        <v>250</v>
      </c>
      <c r="V60">
        <v>3.12</v>
      </c>
      <c r="W60">
        <v>4</v>
      </c>
      <c r="X60">
        <v>5</v>
      </c>
      <c r="Y60">
        <v>6.25</v>
      </c>
      <c r="Z60">
        <v>8</v>
      </c>
      <c r="AA60">
        <v>10</v>
      </c>
      <c r="AB60">
        <v>12</v>
      </c>
      <c r="AC60">
        <v>14</v>
      </c>
      <c r="AD60">
        <v>16</v>
      </c>
      <c r="AE60">
        <v>20</v>
      </c>
      <c r="AF60">
        <v>24</v>
      </c>
      <c r="AG60">
        <v>28</v>
      </c>
      <c r="AH60">
        <v>32</v>
      </c>
      <c r="AI60">
        <v>40</v>
      </c>
      <c r="AJ60">
        <v>48</v>
      </c>
      <c r="AK60">
        <v>56</v>
      </c>
      <c r="AL60">
        <v>64</v>
      </c>
      <c r="AM60">
        <v>94.98</v>
      </c>
      <c r="AN60">
        <v>93.72</v>
      </c>
      <c r="AO60">
        <v>91.95</v>
      </c>
      <c r="AP60">
        <v>89.93</v>
      </c>
      <c r="AQ60">
        <v>87.9</v>
      </c>
      <c r="AR60">
        <v>85.87</v>
      </c>
      <c r="AS60">
        <v>83.84</v>
      </c>
      <c r="AT60">
        <v>79.75</v>
      </c>
      <c r="AU60">
        <v>75.680000000000007</v>
      </c>
      <c r="AV60">
        <v>71.599999999999994</v>
      </c>
      <c r="AW60">
        <v>67.5</v>
      </c>
      <c r="AX60">
        <v>59.37</v>
      </c>
      <c r="AY60">
        <v>51.22</v>
      </c>
      <c r="AZ60">
        <v>43</v>
      </c>
    </row>
    <row r="61" spans="1:52" x14ac:dyDescent="0.3">
      <c r="A61" t="s">
        <v>10</v>
      </c>
      <c r="Q61">
        <v>0.01</v>
      </c>
      <c r="R61">
        <v>0.01</v>
      </c>
      <c r="S61">
        <v>0.02</v>
      </c>
      <c r="T61">
        <v>0.03</v>
      </c>
      <c r="U61">
        <v>0.05</v>
      </c>
      <c r="V61">
        <v>7.0000000000000007E-2</v>
      </c>
      <c r="W61">
        <v>0.1</v>
      </c>
      <c r="X61">
        <v>0.13</v>
      </c>
      <c r="Y61">
        <v>0.16</v>
      </c>
      <c r="Z61">
        <v>0.25</v>
      </c>
      <c r="AA61">
        <v>0.32</v>
      </c>
      <c r="AB61">
        <v>0.4</v>
      </c>
      <c r="AC61">
        <v>0.5</v>
      </c>
      <c r="AD61">
        <v>0.63</v>
      </c>
      <c r="AE61">
        <v>0.78</v>
      </c>
      <c r="AF61">
        <v>1</v>
      </c>
      <c r="AG61">
        <v>1.25</v>
      </c>
      <c r="AH61">
        <v>1.56</v>
      </c>
      <c r="AI61">
        <v>2</v>
      </c>
      <c r="AJ61">
        <v>2.5</v>
      </c>
      <c r="AK61">
        <v>3.12</v>
      </c>
      <c r="AL61">
        <v>4</v>
      </c>
      <c r="AM61">
        <v>5</v>
      </c>
      <c r="AN61">
        <v>6.25</v>
      </c>
      <c r="AO61">
        <v>8</v>
      </c>
      <c r="AP61">
        <v>10</v>
      </c>
      <c r="AQ61">
        <v>12</v>
      </c>
      <c r="AR61">
        <v>14</v>
      </c>
      <c r="AS61">
        <v>16</v>
      </c>
      <c r="AT61">
        <v>200</v>
      </c>
      <c r="AU61">
        <v>24</v>
      </c>
      <c r="AV61">
        <v>28</v>
      </c>
      <c r="AW61">
        <v>32</v>
      </c>
      <c r="AX61">
        <v>40</v>
      </c>
      <c r="AY61">
        <v>48</v>
      </c>
      <c r="AZ61">
        <v>56</v>
      </c>
    </row>
    <row r="62" spans="1:52" x14ac:dyDescent="0.3">
      <c r="A62" t="s">
        <v>11</v>
      </c>
      <c r="AK62">
        <v>0.01</v>
      </c>
      <c r="AL62">
        <v>0.01</v>
      </c>
      <c r="AM62">
        <v>0.02</v>
      </c>
      <c r="AN62">
        <v>0.03</v>
      </c>
      <c r="AO62">
        <v>0.05</v>
      </c>
      <c r="AP62">
        <v>7.0000000000000007E-2</v>
      </c>
      <c r="AQ62">
        <v>0.1</v>
      </c>
      <c r="AR62">
        <v>0.13</v>
      </c>
      <c r="AS62">
        <v>1.6E-2</v>
      </c>
      <c r="AT62">
        <v>0.25</v>
      </c>
      <c r="AU62">
        <v>0.32</v>
      </c>
      <c r="AV62">
        <v>0.4</v>
      </c>
      <c r="AW62">
        <v>0.5</v>
      </c>
      <c r="AX62">
        <v>0.63</v>
      </c>
      <c r="AY62">
        <v>0.78</v>
      </c>
      <c r="AZ62">
        <v>1</v>
      </c>
    </row>
    <row r="64" spans="1:52" x14ac:dyDescent="0.3">
      <c r="A64" s="1" t="s">
        <v>102</v>
      </c>
    </row>
    <row r="66" spans="1:52" x14ac:dyDescent="0.3">
      <c r="A66" t="s">
        <v>100</v>
      </c>
      <c r="C66">
        <v>17.5</v>
      </c>
      <c r="D66">
        <v>17.5</v>
      </c>
      <c r="E66">
        <v>17.5</v>
      </c>
      <c r="F66">
        <v>17.5</v>
      </c>
      <c r="G66">
        <v>17.5</v>
      </c>
      <c r="H66">
        <v>17.5</v>
      </c>
      <c r="I66">
        <v>17.5</v>
      </c>
      <c r="J66">
        <v>17.5</v>
      </c>
      <c r="K66">
        <v>17.5</v>
      </c>
      <c r="L66">
        <v>17.5</v>
      </c>
      <c r="M66">
        <v>17.5</v>
      </c>
      <c r="N66">
        <v>17.5</v>
      </c>
      <c r="O66">
        <v>17.5</v>
      </c>
      <c r="P66">
        <v>17.5</v>
      </c>
      <c r="Q66">
        <v>17.5</v>
      </c>
      <c r="R66">
        <v>17.5</v>
      </c>
      <c r="S66">
        <v>17.5</v>
      </c>
      <c r="T66">
        <v>17.5</v>
      </c>
      <c r="U66">
        <v>17.5</v>
      </c>
      <c r="V66">
        <v>17.5</v>
      </c>
      <c r="W66">
        <v>17.5</v>
      </c>
      <c r="X66">
        <v>17.5</v>
      </c>
      <c r="Y66">
        <v>17.5</v>
      </c>
      <c r="Z66">
        <v>17.5</v>
      </c>
      <c r="AA66">
        <v>17.5</v>
      </c>
      <c r="AB66">
        <v>17.5</v>
      </c>
      <c r="AC66">
        <v>17.5</v>
      </c>
      <c r="AD66">
        <v>17.5</v>
      </c>
      <c r="AE66">
        <v>17.5</v>
      </c>
      <c r="AF66">
        <v>17.5</v>
      </c>
      <c r="AG66">
        <v>17.5</v>
      </c>
      <c r="AH66">
        <v>17.5</v>
      </c>
      <c r="AI66">
        <v>17.5</v>
      </c>
      <c r="AJ66">
        <v>17.5</v>
      </c>
      <c r="AK66">
        <v>17.5</v>
      </c>
      <c r="AL66">
        <v>17.5</v>
      </c>
      <c r="AM66">
        <v>17.5</v>
      </c>
      <c r="AN66">
        <v>17.5</v>
      </c>
      <c r="AO66">
        <v>17.5</v>
      </c>
      <c r="AP66">
        <v>17.5</v>
      </c>
      <c r="AQ66">
        <v>17.5</v>
      </c>
      <c r="AR66">
        <v>17.5</v>
      </c>
      <c r="AS66">
        <v>17.5</v>
      </c>
      <c r="AT66">
        <v>17.5</v>
      </c>
      <c r="AU66">
        <v>17.5</v>
      </c>
      <c r="AV66">
        <v>17.5</v>
      </c>
      <c r="AW66">
        <v>17.5</v>
      </c>
      <c r="AX66">
        <v>17.5</v>
      </c>
      <c r="AY66">
        <v>17.5</v>
      </c>
      <c r="AZ66">
        <v>17.5</v>
      </c>
    </row>
    <row r="67" spans="1:52" x14ac:dyDescent="0.3">
      <c r="A67" t="s">
        <v>3</v>
      </c>
      <c r="C67">
        <v>16.5</v>
      </c>
      <c r="D67">
        <v>16.5</v>
      </c>
      <c r="E67">
        <v>16.5</v>
      </c>
      <c r="F67">
        <v>16.5</v>
      </c>
      <c r="G67">
        <v>16.5</v>
      </c>
      <c r="H67">
        <v>16.5</v>
      </c>
      <c r="I67">
        <v>16.5</v>
      </c>
      <c r="J67">
        <v>16.5</v>
      </c>
      <c r="K67">
        <v>16.5</v>
      </c>
      <c r="L67">
        <v>16.5</v>
      </c>
      <c r="M67">
        <v>16.5</v>
      </c>
      <c r="N67">
        <v>16.5</v>
      </c>
      <c r="O67">
        <v>16.5</v>
      </c>
      <c r="P67">
        <v>16.5</v>
      </c>
      <c r="Q67">
        <v>16.5</v>
      </c>
      <c r="R67">
        <v>16.5</v>
      </c>
      <c r="S67">
        <v>16.5</v>
      </c>
      <c r="T67">
        <v>16.5</v>
      </c>
      <c r="U67">
        <v>16.5</v>
      </c>
      <c r="V67">
        <v>16.5</v>
      </c>
      <c r="W67">
        <v>16.5</v>
      </c>
      <c r="X67">
        <v>16.5</v>
      </c>
      <c r="Y67">
        <v>16.5</v>
      </c>
      <c r="Z67">
        <v>16.5</v>
      </c>
      <c r="AA67">
        <v>16.5</v>
      </c>
      <c r="AB67">
        <v>16.5</v>
      </c>
      <c r="AC67">
        <v>16.5</v>
      </c>
      <c r="AD67">
        <v>16.5</v>
      </c>
      <c r="AE67">
        <v>16.5</v>
      </c>
      <c r="AF67">
        <v>16.5</v>
      </c>
      <c r="AG67">
        <v>16.5</v>
      </c>
      <c r="AH67">
        <v>16.5</v>
      </c>
      <c r="AI67">
        <v>16.5</v>
      </c>
      <c r="AJ67">
        <v>16.5</v>
      </c>
      <c r="AK67">
        <v>16.5</v>
      </c>
      <c r="AL67">
        <v>16.5</v>
      </c>
      <c r="AM67">
        <v>16.5</v>
      </c>
      <c r="AN67">
        <v>16.5</v>
      </c>
      <c r="AO67">
        <v>16.5</v>
      </c>
      <c r="AP67">
        <v>16.5</v>
      </c>
      <c r="AQ67">
        <v>16.5</v>
      </c>
      <c r="AR67">
        <v>16.5</v>
      </c>
      <c r="AS67">
        <v>16.5</v>
      </c>
      <c r="AT67">
        <v>16.5</v>
      </c>
      <c r="AU67">
        <v>16.5</v>
      </c>
      <c r="AV67">
        <v>16.5</v>
      </c>
      <c r="AW67">
        <v>16.5</v>
      </c>
      <c r="AX67">
        <v>16.5</v>
      </c>
      <c r="AY67">
        <v>16.5</v>
      </c>
      <c r="AZ67">
        <v>16.5</v>
      </c>
    </row>
    <row r="68" spans="1:52" x14ac:dyDescent="0.3">
      <c r="A68" t="s">
        <v>4</v>
      </c>
      <c r="C68">
        <v>16.5</v>
      </c>
      <c r="D68">
        <v>16.5</v>
      </c>
      <c r="E68">
        <v>16.5</v>
      </c>
      <c r="F68">
        <v>16.5</v>
      </c>
      <c r="G68">
        <v>16.5</v>
      </c>
      <c r="H68">
        <v>16.5</v>
      </c>
      <c r="I68">
        <v>16.5</v>
      </c>
      <c r="J68">
        <v>16.5</v>
      </c>
      <c r="K68">
        <v>16.5</v>
      </c>
      <c r="L68">
        <v>16.5</v>
      </c>
      <c r="M68">
        <v>16.5</v>
      </c>
      <c r="N68">
        <v>16.5</v>
      </c>
      <c r="O68">
        <v>16.5</v>
      </c>
      <c r="P68">
        <v>16.5</v>
      </c>
      <c r="Q68">
        <v>16.5</v>
      </c>
      <c r="R68">
        <v>16.5</v>
      </c>
      <c r="S68">
        <v>16.5</v>
      </c>
      <c r="T68">
        <v>16.5</v>
      </c>
      <c r="U68">
        <v>16.5</v>
      </c>
      <c r="V68">
        <v>16.5</v>
      </c>
      <c r="W68">
        <v>16.5</v>
      </c>
      <c r="X68">
        <v>16.5</v>
      </c>
      <c r="Y68">
        <v>16.5</v>
      </c>
      <c r="Z68">
        <v>16.5</v>
      </c>
      <c r="AA68">
        <v>16.5</v>
      </c>
      <c r="AB68">
        <v>16.5</v>
      </c>
      <c r="AC68">
        <v>16.5</v>
      </c>
      <c r="AD68">
        <v>16.5</v>
      </c>
      <c r="AE68">
        <v>16.5</v>
      </c>
      <c r="AF68">
        <v>16.5</v>
      </c>
      <c r="AG68">
        <v>16.5</v>
      </c>
      <c r="AH68">
        <v>16.5</v>
      </c>
      <c r="AI68">
        <v>16.5</v>
      </c>
      <c r="AJ68">
        <v>16.5</v>
      </c>
      <c r="AK68">
        <v>16.5</v>
      </c>
      <c r="AL68">
        <v>16.5</v>
      </c>
      <c r="AM68">
        <v>16.5</v>
      </c>
      <c r="AN68">
        <v>16.5</v>
      </c>
      <c r="AO68">
        <v>16.5</v>
      </c>
      <c r="AP68">
        <v>16.5</v>
      </c>
      <c r="AQ68">
        <v>16.5</v>
      </c>
      <c r="AR68">
        <v>16.5</v>
      </c>
      <c r="AS68">
        <v>16.5</v>
      </c>
      <c r="AT68">
        <v>16.5</v>
      </c>
      <c r="AU68">
        <v>16.5</v>
      </c>
      <c r="AV68">
        <v>16.5</v>
      </c>
      <c r="AW68">
        <v>16.5</v>
      </c>
      <c r="AX68">
        <v>16.5</v>
      </c>
      <c r="AY68">
        <v>16.5</v>
      </c>
      <c r="AZ68">
        <v>16.5</v>
      </c>
    </row>
    <row r="69" spans="1:52" x14ac:dyDescent="0.3">
      <c r="A69" t="s">
        <v>5</v>
      </c>
      <c r="C69">
        <v>49.48</v>
      </c>
      <c r="D69">
        <v>49.47</v>
      </c>
      <c r="E69">
        <v>49.45</v>
      </c>
      <c r="F69">
        <v>49.43</v>
      </c>
      <c r="G69">
        <v>49.4</v>
      </c>
      <c r="H69">
        <v>49.35</v>
      </c>
      <c r="I69">
        <v>49.3</v>
      </c>
      <c r="J69">
        <v>49.2</v>
      </c>
      <c r="K69">
        <v>49</v>
      </c>
      <c r="L69">
        <v>48.8</v>
      </c>
      <c r="M69">
        <v>48.5</v>
      </c>
      <c r="N69">
        <v>48</v>
      </c>
      <c r="O69">
        <v>47.5</v>
      </c>
      <c r="P69">
        <v>46.5</v>
      </c>
      <c r="Q69">
        <v>44.5</v>
      </c>
      <c r="R69">
        <v>42.5</v>
      </c>
      <c r="S69">
        <v>39.5</v>
      </c>
      <c r="T69">
        <v>36.5</v>
      </c>
      <c r="U69">
        <v>33.5</v>
      </c>
      <c r="V69">
        <v>29.5</v>
      </c>
      <c r="W69">
        <v>25.5</v>
      </c>
      <c r="X69">
        <v>21</v>
      </c>
      <c r="Y69">
        <v>17.5</v>
      </c>
      <c r="Z69">
        <v>16.5</v>
      </c>
      <c r="AA69">
        <v>16.5</v>
      </c>
      <c r="AB69">
        <v>16.5</v>
      </c>
      <c r="AC69">
        <v>16.5</v>
      </c>
      <c r="AD69">
        <v>16.5</v>
      </c>
      <c r="AE69">
        <v>16.5</v>
      </c>
      <c r="AF69">
        <v>16.5</v>
      </c>
      <c r="AG69">
        <v>16.5</v>
      </c>
      <c r="AH69">
        <v>16.5</v>
      </c>
      <c r="AI69">
        <v>16.5</v>
      </c>
      <c r="AJ69">
        <v>16.5</v>
      </c>
      <c r="AK69">
        <v>16.5</v>
      </c>
      <c r="AL69">
        <v>16.5</v>
      </c>
      <c r="AM69">
        <v>16.5</v>
      </c>
      <c r="AN69">
        <v>16.5</v>
      </c>
      <c r="AO69">
        <v>16.5</v>
      </c>
      <c r="AP69">
        <v>16.5</v>
      </c>
      <c r="AQ69">
        <v>16.5</v>
      </c>
      <c r="AR69">
        <v>16.5</v>
      </c>
      <c r="AS69">
        <v>16.5</v>
      </c>
      <c r="AT69">
        <v>16.5</v>
      </c>
      <c r="AU69">
        <v>16.5</v>
      </c>
      <c r="AV69">
        <v>16.5</v>
      </c>
      <c r="AW69">
        <v>16.5</v>
      </c>
      <c r="AX69">
        <v>16.5</v>
      </c>
      <c r="AY69">
        <v>16.5</v>
      </c>
      <c r="AZ69">
        <v>16.5</v>
      </c>
    </row>
    <row r="70" spans="1:52" x14ac:dyDescent="0.3">
      <c r="A70" t="s">
        <v>6</v>
      </c>
      <c r="C70">
        <v>0.02</v>
      </c>
      <c r="D70">
        <v>0.03</v>
      </c>
      <c r="E70">
        <v>0.05</v>
      </c>
      <c r="F70">
        <v>7.0000000000000007E-2</v>
      </c>
      <c r="G70">
        <v>0.1</v>
      </c>
      <c r="H70">
        <v>0.15</v>
      </c>
      <c r="I70">
        <v>0.2</v>
      </c>
      <c r="J70">
        <v>0.3</v>
      </c>
      <c r="K70">
        <v>0.5</v>
      </c>
      <c r="L70">
        <v>0.7</v>
      </c>
      <c r="M70">
        <v>0.1</v>
      </c>
      <c r="N70">
        <v>1.5</v>
      </c>
      <c r="O70">
        <v>2</v>
      </c>
      <c r="P70">
        <v>3</v>
      </c>
      <c r="Q70">
        <v>5</v>
      </c>
      <c r="R70">
        <v>7</v>
      </c>
      <c r="S70">
        <v>10</v>
      </c>
      <c r="T70">
        <v>13</v>
      </c>
      <c r="U70">
        <v>16</v>
      </c>
      <c r="V70">
        <v>20</v>
      </c>
      <c r="W70">
        <v>24</v>
      </c>
      <c r="X70">
        <v>28</v>
      </c>
      <c r="Y70">
        <v>32</v>
      </c>
      <c r="Z70">
        <v>33</v>
      </c>
      <c r="AA70">
        <v>32.99</v>
      </c>
      <c r="AB70">
        <v>32.979999999999997</v>
      </c>
      <c r="AC70">
        <v>32.97</v>
      </c>
      <c r="AD70">
        <v>32.950000000000003</v>
      </c>
      <c r="AE70">
        <v>32.93</v>
      </c>
      <c r="AF70">
        <v>32.9</v>
      </c>
      <c r="AG70">
        <v>32.85</v>
      </c>
      <c r="AH70">
        <v>32.799999999999997</v>
      </c>
      <c r="AI70">
        <v>32.700000000000003</v>
      </c>
      <c r="AJ70">
        <v>32.5</v>
      </c>
      <c r="AK70">
        <v>32.299999999999997</v>
      </c>
      <c r="AL70">
        <v>32</v>
      </c>
      <c r="AM70">
        <v>31.5</v>
      </c>
      <c r="AN70">
        <v>31</v>
      </c>
      <c r="AO70">
        <v>30</v>
      </c>
      <c r="AP70">
        <v>29</v>
      </c>
      <c r="AQ70">
        <v>28</v>
      </c>
      <c r="AR70">
        <v>27</v>
      </c>
      <c r="AS70">
        <v>26</v>
      </c>
      <c r="AT70">
        <v>25</v>
      </c>
      <c r="AU70">
        <v>24</v>
      </c>
      <c r="AV70">
        <v>23</v>
      </c>
      <c r="AW70">
        <v>22</v>
      </c>
      <c r="AX70">
        <v>20</v>
      </c>
      <c r="AY70">
        <v>18</v>
      </c>
      <c r="AZ70">
        <v>16.5</v>
      </c>
    </row>
    <row r="71" spans="1:52" x14ac:dyDescent="0.3">
      <c r="A71" t="s">
        <v>7</v>
      </c>
      <c r="AA71">
        <v>0.01</v>
      </c>
      <c r="AB71">
        <v>0.02</v>
      </c>
      <c r="AC71">
        <v>0.03</v>
      </c>
      <c r="AD71">
        <v>0.05</v>
      </c>
      <c r="AE71">
        <v>7.0000000000000007E-2</v>
      </c>
      <c r="AF71">
        <v>0.1</v>
      </c>
      <c r="AG71">
        <v>0.15</v>
      </c>
      <c r="AH71">
        <v>0.2</v>
      </c>
      <c r="AI71">
        <v>0.3</v>
      </c>
      <c r="AJ71">
        <v>0.5</v>
      </c>
      <c r="AK71">
        <v>0.7</v>
      </c>
      <c r="AL71">
        <v>1</v>
      </c>
      <c r="AM71">
        <v>1.5</v>
      </c>
      <c r="AN71">
        <v>2</v>
      </c>
      <c r="AO71">
        <v>3</v>
      </c>
      <c r="AP71">
        <v>4</v>
      </c>
      <c r="AQ71">
        <v>5</v>
      </c>
      <c r="AR71">
        <v>6</v>
      </c>
      <c r="AS71">
        <v>7</v>
      </c>
      <c r="AT71">
        <v>8</v>
      </c>
      <c r="AU71">
        <v>9</v>
      </c>
      <c r="AV71">
        <v>10</v>
      </c>
      <c r="AW71">
        <v>11</v>
      </c>
      <c r="AX71">
        <v>13</v>
      </c>
      <c r="AY71">
        <v>15</v>
      </c>
      <c r="AZ71">
        <v>16.5</v>
      </c>
    </row>
    <row r="73" spans="1:52" x14ac:dyDescent="0.3">
      <c r="A73" s="1" t="s">
        <v>104</v>
      </c>
    </row>
    <row r="75" spans="1:52" x14ac:dyDescent="0.3">
      <c r="A75" t="s">
        <v>47</v>
      </c>
    </row>
    <row r="76" spans="1:52" x14ac:dyDescent="0.3">
      <c r="A76" t="s">
        <v>48</v>
      </c>
    </row>
    <row r="77" spans="1:52" x14ac:dyDescent="0.3">
      <c r="A77" t="s">
        <v>49</v>
      </c>
    </row>
    <row r="78" spans="1:52" x14ac:dyDescent="0.3">
      <c r="A78" t="s">
        <v>50</v>
      </c>
    </row>
    <row r="79" spans="1:52" x14ac:dyDescent="0.3">
      <c r="A79" t="s">
        <v>105</v>
      </c>
    </row>
    <row r="80" spans="1:52" x14ac:dyDescent="0.3">
      <c r="A80" t="s">
        <v>52</v>
      </c>
    </row>
    <row r="81" spans="1:1" x14ac:dyDescent="0.3">
      <c r="A81" t="s">
        <v>53</v>
      </c>
    </row>
    <row r="82" spans="1:1" x14ac:dyDescent="0.3">
      <c r="A8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69D5-F724-4CE4-A739-E5EF652C9D38}">
  <dimension ref="A1:P27"/>
  <sheetViews>
    <sheetView zoomScale="55" zoomScaleNormal="55" workbookViewId="0">
      <selection activeCell="O49" sqref="O49"/>
    </sheetView>
  </sheetViews>
  <sheetFormatPr defaultRowHeight="14" x14ac:dyDescent="0.3"/>
  <cols>
    <col min="10" max="10" width="8.796875" customWidth="1"/>
    <col min="11" max="11" width="8.796875" hidden="1" customWidth="1"/>
    <col min="12" max="12" width="17.59765625" customWidth="1"/>
  </cols>
  <sheetData>
    <row r="1" spans="1:16" x14ac:dyDescent="0.3">
      <c r="A1" s="2" t="s">
        <v>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x14ac:dyDescent="0.3">
      <c r="A2" s="5"/>
      <c r="P2" s="6"/>
    </row>
    <row r="3" spans="1:16" x14ac:dyDescent="0.3">
      <c r="A3" s="41">
        <v>1</v>
      </c>
      <c r="B3" s="42" t="s">
        <v>2</v>
      </c>
      <c r="C3" s="42"/>
      <c r="D3" s="42">
        <v>0</v>
      </c>
      <c r="E3" s="44">
        <v>26</v>
      </c>
      <c r="F3" s="42"/>
      <c r="G3" s="42"/>
      <c r="H3" s="42">
        <v>50600</v>
      </c>
      <c r="I3" s="44">
        <v>51</v>
      </c>
      <c r="J3" s="42"/>
      <c r="K3" s="42"/>
      <c r="L3" s="42">
        <v>234000</v>
      </c>
      <c r="M3" s="44">
        <v>76</v>
      </c>
      <c r="N3" s="42"/>
      <c r="O3" s="42"/>
      <c r="P3" s="43">
        <v>664400</v>
      </c>
    </row>
    <row r="4" spans="1:16" x14ac:dyDescent="0.3">
      <c r="A4" s="5">
        <v>2</v>
      </c>
      <c r="B4" t="s">
        <v>3</v>
      </c>
      <c r="D4">
        <v>200</v>
      </c>
      <c r="E4" s="21">
        <v>27</v>
      </c>
      <c r="H4">
        <v>52800</v>
      </c>
      <c r="I4" s="21">
        <v>52</v>
      </c>
      <c r="L4">
        <v>246400</v>
      </c>
      <c r="M4" s="21">
        <v>77</v>
      </c>
      <c r="P4" s="6">
        <v>687100</v>
      </c>
    </row>
    <row r="5" spans="1:16" x14ac:dyDescent="0.3">
      <c r="A5" s="41">
        <v>3</v>
      </c>
      <c r="B5" s="42" t="s">
        <v>4</v>
      </c>
      <c r="C5" s="42"/>
      <c r="D5" s="42">
        <v>600</v>
      </c>
      <c r="E5" s="44">
        <v>28</v>
      </c>
      <c r="F5" s="42"/>
      <c r="G5" s="42"/>
      <c r="H5" s="42">
        <v>55000</v>
      </c>
      <c r="I5" s="44">
        <v>53</v>
      </c>
      <c r="J5" s="42"/>
      <c r="K5" s="42"/>
      <c r="L5" s="42">
        <v>259200</v>
      </c>
      <c r="M5" s="44">
        <v>78</v>
      </c>
      <c r="N5" s="42"/>
      <c r="O5" s="42"/>
      <c r="P5" s="43">
        <v>710400</v>
      </c>
    </row>
    <row r="6" spans="1:16" x14ac:dyDescent="0.3">
      <c r="A6" s="5">
        <v>4</v>
      </c>
      <c r="D6">
        <v>1200</v>
      </c>
      <c r="E6" s="21">
        <v>29</v>
      </c>
      <c r="H6">
        <v>57200</v>
      </c>
      <c r="I6" s="21">
        <v>54</v>
      </c>
      <c r="L6">
        <v>272400</v>
      </c>
      <c r="M6" s="21">
        <v>79</v>
      </c>
      <c r="P6" s="6">
        <v>734100</v>
      </c>
    </row>
    <row r="7" spans="1:16" x14ac:dyDescent="0.3">
      <c r="A7" s="41">
        <v>5</v>
      </c>
      <c r="B7" s="42" t="s">
        <v>5</v>
      </c>
      <c r="C7" s="42"/>
      <c r="D7" s="42">
        <v>3000</v>
      </c>
      <c r="E7" s="44">
        <v>30</v>
      </c>
      <c r="F7" s="42"/>
      <c r="G7" s="42"/>
      <c r="H7" s="42">
        <v>59400</v>
      </c>
      <c r="I7" s="44">
        <v>55</v>
      </c>
      <c r="J7" s="42"/>
      <c r="K7" s="42"/>
      <c r="L7" s="42">
        <v>285900</v>
      </c>
      <c r="M7" s="44">
        <v>80</v>
      </c>
      <c r="N7" s="42"/>
      <c r="O7" s="42"/>
      <c r="P7" s="43">
        <v>758200</v>
      </c>
    </row>
    <row r="8" spans="1:16" x14ac:dyDescent="0.3">
      <c r="A8" s="5">
        <v>6</v>
      </c>
      <c r="D8">
        <v>4500</v>
      </c>
      <c r="E8" s="21">
        <v>31</v>
      </c>
      <c r="H8">
        <v>61600</v>
      </c>
      <c r="I8" s="21">
        <v>56</v>
      </c>
      <c r="L8">
        <v>299900</v>
      </c>
      <c r="M8" s="21">
        <v>81</v>
      </c>
      <c r="P8" s="6">
        <v>782800</v>
      </c>
    </row>
    <row r="9" spans="1:16" x14ac:dyDescent="0.3">
      <c r="A9" s="41">
        <v>7</v>
      </c>
      <c r="B9" s="42"/>
      <c r="C9" s="42"/>
      <c r="D9" s="42">
        <v>6000</v>
      </c>
      <c r="E9" s="44">
        <v>32</v>
      </c>
      <c r="F9" s="42"/>
      <c r="G9" s="42"/>
      <c r="H9" s="42">
        <v>63700</v>
      </c>
      <c r="I9" s="44">
        <v>57</v>
      </c>
      <c r="J9" s="42"/>
      <c r="K9" s="42"/>
      <c r="L9" s="42">
        <v>314200</v>
      </c>
      <c r="M9" s="44">
        <v>82</v>
      </c>
      <c r="N9" s="42"/>
      <c r="O9" s="42"/>
      <c r="P9" s="43">
        <v>807900</v>
      </c>
    </row>
    <row r="10" spans="1:16" x14ac:dyDescent="0.3">
      <c r="A10" s="5">
        <v>8</v>
      </c>
      <c r="D10">
        <v>9000</v>
      </c>
      <c r="E10" s="21">
        <v>33</v>
      </c>
      <c r="H10">
        <v>69800</v>
      </c>
      <c r="I10" s="21">
        <v>58</v>
      </c>
      <c r="L10">
        <v>328900</v>
      </c>
      <c r="M10" s="21">
        <v>83</v>
      </c>
      <c r="P10" s="6">
        <v>833500</v>
      </c>
    </row>
    <row r="11" spans="1:16" x14ac:dyDescent="0.3">
      <c r="A11" s="41">
        <v>9</v>
      </c>
      <c r="B11" s="42"/>
      <c r="C11" s="42"/>
      <c r="D11" s="42">
        <v>10800</v>
      </c>
      <c r="E11" s="44">
        <v>34</v>
      </c>
      <c r="F11" s="42"/>
      <c r="G11" s="42"/>
      <c r="H11" s="42">
        <v>76200</v>
      </c>
      <c r="I11" s="44">
        <v>59</v>
      </c>
      <c r="J11" s="42"/>
      <c r="K11" s="42"/>
      <c r="L11" s="42">
        <v>344000</v>
      </c>
      <c r="M11" s="44">
        <v>84</v>
      </c>
      <c r="N11" s="42"/>
      <c r="O11" s="42"/>
      <c r="P11" s="43">
        <v>859500</v>
      </c>
    </row>
    <row r="12" spans="1:16" x14ac:dyDescent="0.3">
      <c r="A12" s="5">
        <v>10</v>
      </c>
      <c r="B12" t="s">
        <v>6</v>
      </c>
      <c r="D12">
        <v>12600</v>
      </c>
      <c r="E12" s="21">
        <v>35</v>
      </c>
      <c r="F12" t="s">
        <v>8</v>
      </c>
      <c r="H12">
        <v>82900</v>
      </c>
      <c r="I12" s="21">
        <v>60</v>
      </c>
      <c r="L12">
        <v>359500</v>
      </c>
      <c r="M12" s="21">
        <v>85</v>
      </c>
      <c r="N12" t="s">
        <v>11</v>
      </c>
      <c r="P12" s="6">
        <v>886000</v>
      </c>
    </row>
    <row r="13" spans="1:16" x14ac:dyDescent="0.3">
      <c r="A13" s="41">
        <v>11</v>
      </c>
      <c r="B13" s="42"/>
      <c r="C13" s="42"/>
      <c r="D13" s="42">
        <v>14400</v>
      </c>
      <c r="E13" s="44">
        <v>36</v>
      </c>
      <c r="F13" s="42"/>
      <c r="G13" s="42"/>
      <c r="H13" s="42">
        <v>89900</v>
      </c>
      <c r="I13" s="44">
        <v>61</v>
      </c>
      <c r="J13" s="42"/>
      <c r="K13" s="42"/>
      <c r="L13" s="42">
        <v>375400</v>
      </c>
      <c r="M13" s="44">
        <v>86</v>
      </c>
      <c r="N13" s="42"/>
      <c r="O13" s="42"/>
      <c r="P13" s="43">
        <v>913000</v>
      </c>
    </row>
    <row r="14" spans="1:16" x14ac:dyDescent="0.3">
      <c r="A14" s="5">
        <v>12</v>
      </c>
      <c r="D14">
        <v>16200</v>
      </c>
      <c r="E14" s="21">
        <v>37</v>
      </c>
      <c r="H14">
        <v>97200</v>
      </c>
      <c r="I14" s="21">
        <v>62</v>
      </c>
      <c r="L14">
        <v>391700</v>
      </c>
      <c r="M14" s="21">
        <v>87</v>
      </c>
      <c r="P14" s="6">
        <v>940500</v>
      </c>
    </row>
    <row r="15" spans="1:16" x14ac:dyDescent="0.3">
      <c r="A15" s="41">
        <v>13</v>
      </c>
      <c r="B15" s="42"/>
      <c r="C15" s="42"/>
      <c r="D15" s="42">
        <v>18000</v>
      </c>
      <c r="E15" s="44">
        <v>38</v>
      </c>
      <c r="F15" s="42"/>
      <c r="G15" s="42"/>
      <c r="H15" s="42">
        <v>104800</v>
      </c>
      <c r="I15" s="44">
        <v>63</v>
      </c>
      <c r="J15" s="42"/>
      <c r="K15" s="42"/>
      <c r="L15" s="42">
        <v>408400</v>
      </c>
      <c r="M15" s="44">
        <v>88</v>
      </c>
      <c r="N15" s="42"/>
      <c r="O15" s="42"/>
      <c r="P15" s="43">
        <v>968500</v>
      </c>
    </row>
    <row r="16" spans="1:16" x14ac:dyDescent="0.3">
      <c r="A16" s="5">
        <v>14</v>
      </c>
      <c r="D16">
        <v>19800</v>
      </c>
      <c r="E16" s="21">
        <v>39</v>
      </c>
      <c r="H16">
        <v>112700</v>
      </c>
      <c r="I16" s="21">
        <v>64</v>
      </c>
      <c r="L16">
        <v>425500</v>
      </c>
      <c r="M16" s="21">
        <v>89</v>
      </c>
      <c r="P16" s="6">
        <v>996900</v>
      </c>
    </row>
    <row r="17" spans="1:16" x14ac:dyDescent="0.3">
      <c r="A17" s="41">
        <v>15</v>
      </c>
      <c r="B17" s="42"/>
      <c r="C17" s="42"/>
      <c r="D17" s="42">
        <v>21600</v>
      </c>
      <c r="E17" s="44">
        <v>40</v>
      </c>
      <c r="F17" s="42"/>
      <c r="G17" s="42"/>
      <c r="H17" s="42">
        <v>121000</v>
      </c>
      <c r="I17" s="44">
        <v>65</v>
      </c>
      <c r="J17" s="42" t="s">
        <v>10</v>
      </c>
      <c r="K17" s="42"/>
      <c r="L17" s="42">
        <v>443100</v>
      </c>
      <c r="M17" s="44">
        <v>90</v>
      </c>
      <c r="N17" s="42"/>
      <c r="O17" s="42"/>
      <c r="P17" s="43">
        <v>1030000</v>
      </c>
    </row>
    <row r="18" spans="1:16" x14ac:dyDescent="0.3">
      <c r="A18" s="5">
        <v>16</v>
      </c>
      <c r="D18">
        <v>23400</v>
      </c>
      <c r="E18" s="21">
        <v>41</v>
      </c>
      <c r="H18">
        <v>129500</v>
      </c>
      <c r="I18" s="21">
        <v>66</v>
      </c>
      <c r="L18">
        <v>461000</v>
      </c>
      <c r="M18" s="21">
        <v>91</v>
      </c>
      <c r="P18" s="6">
        <v>1060000</v>
      </c>
    </row>
    <row r="19" spans="1:16" x14ac:dyDescent="0.3">
      <c r="A19" s="41">
        <v>17</v>
      </c>
      <c r="B19" s="42"/>
      <c r="C19" s="42"/>
      <c r="D19" s="49">
        <v>25200</v>
      </c>
      <c r="E19" s="44">
        <v>42</v>
      </c>
      <c r="F19" s="42"/>
      <c r="G19" s="42"/>
      <c r="H19" s="42">
        <v>138400</v>
      </c>
      <c r="I19" s="44">
        <v>67</v>
      </c>
      <c r="J19" s="42"/>
      <c r="K19" s="42"/>
      <c r="L19" s="42">
        <v>479400</v>
      </c>
      <c r="M19" s="44">
        <v>92</v>
      </c>
      <c r="N19" s="42"/>
      <c r="O19" s="42"/>
      <c r="P19" s="43">
        <v>1090000</v>
      </c>
    </row>
    <row r="20" spans="1:16" x14ac:dyDescent="0.3">
      <c r="A20" s="5">
        <v>18</v>
      </c>
      <c r="D20" s="42">
        <v>27000</v>
      </c>
      <c r="E20" s="21">
        <v>43</v>
      </c>
      <c r="H20">
        <v>147700</v>
      </c>
      <c r="I20" s="21">
        <v>68</v>
      </c>
      <c r="L20">
        <v>498200</v>
      </c>
      <c r="M20" s="21">
        <v>93</v>
      </c>
      <c r="P20" s="6">
        <v>1120000</v>
      </c>
    </row>
    <row r="21" spans="1:16" x14ac:dyDescent="0.3">
      <c r="A21" s="41">
        <v>19</v>
      </c>
      <c r="B21" s="42"/>
      <c r="C21" s="42"/>
      <c r="D21" s="49">
        <v>28800</v>
      </c>
      <c r="E21" s="44">
        <v>44</v>
      </c>
      <c r="F21" s="42"/>
      <c r="G21" s="42"/>
      <c r="H21" s="42">
        <v>157200</v>
      </c>
      <c r="I21" s="44">
        <v>69</v>
      </c>
      <c r="J21" s="42"/>
      <c r="K21" s="42"/>
      <c r="L21" s="42">
        <v>517500</v>
      </c>
      <c r="M21" s="44">
        <v>94</v>
      </c>
      <c r="N21" s="42"/>
      <c r="O21" s="42"/>
      <c r="P21" s="43">
        <v>1150000</v>
      </c>
    </row>
    <row r="22" spans="1:16" x14ac:dyDescent="0.3">
      <c r="A22" s="5">
        <v>20</v>
      </c>
      <c r="B22" t="s">
        <v>7</v>
      </c>
      <c r="D22">
        <v>30600</v>
      </c>
      <c r="E22" s="21">
        <v>45</v>
      </c>
      <c r="H22">
        <v>167200</v>
      </c>
      <c r="I22" s="21">
        <v>70</v>
      </c>
      <c r="L22">
        <v>537100</v>
      </c>
      <c r="M22" s="21">
        <v>95</v>
      </c>
      <c r="P22" s="6">
        <v>1180000</v>
      </c>
    </row>
    <row r="23" spans="1:16" x14ac:dyDescent="0.3">
      <c r="A23" s="41">
        <v>21</v>
      </c>
      <c r="B23" s="42"/>
      <c r="C23" s="42"/>
      <c r="D23" s="42">
        <v>36000</v>
      </c>
      <c r="E23" s="44">
        <v>46</v>
      </c>
      <c r="F23" s="42"/>
      <c r="G23" s="42"/>
      <c r="H23" s="42">
        <v>177400</v>
      </c>
      <c r="I23" s="44">
        <v>71</v>
      </c>
      <c r="J23" s="42"/>
      <c r="K23" s="42"/>
      <c r="L23" s="42">
        <v>557200</v>
      </c>
      <c r="M23" s="44">
        <v>96</v>
      </c>
      <c r="N23" s="42"/>
      <c r="O23" s="42"/>
      <c r="P23" s="43">
        <v>1210000</v>
      </c>
    </row>
    <row r="24" spans="1:16" x14ac:dyDescent="0.3">
      <c r="A24" s="5">
        <v>22</v>
      </c>
      <c r="D24">
        <v>38000</v>
      </c>
      <c r="E24" s="21">
        <v>47</v>
      </c>
      <c r="H24">
        <v>188000</v>
      </c>
      <c r="I24" s="21">
        <v>72</v>
      </c>
      <c r="L24">
        <v>577800</v>
      </c>
      <c r="M24" s="21">
        <v>97</v>
      </c>
      <c r="P24" s="6">
        <v>1240000</v>
      </c>
    </row>
    <row r="25" spans="1:16" x14ac:dyDescent="0.3">
      <c r="A25" s="41">
        <v>23</v>
      </c>
      <c r="B25" s="42"/>
      <c r="C25" s="42"/>
      <c r="D25" s="42">
        <v>40000</v>
      </c>
      <c r="E25" s="44">
        <v>48</v>
      </c>
      <c r="F25" s="42"/>
      <c r="G25" s="42"/>
      <c r="H25" s="42">
        <v>199000</v>
      </c>
      <c r="I25" s="44">
        <v>73</v>
      </c>
      <c r="J25" s="42"/>
      <c r="K25" s="42"/>
      <c r="L25" s="42">
        <v>598700</v>
      </c>
      <c r="M25" s="44">
        <v>98</v>
      </c>
      <c r="N25" s="42"/>
      <c r="O25" s="42"/>
      <c r="P25" s="43">
        <v>1280000</v>
      </c>
    </row>
    <row r="26" spans="1:16" x14ac:dyDescent="0.3">
      <c r="A26" s="5">
        <v>24</v>
      </c>
      <c r="D26">
        <v>42000</v>
      </c>
      <c r="E26" s="21">
        <v>49</v>
      </c>
      <c r="H26">
        <v>210300</v>
      </c>
      <c r="I26" s="21">
        <v>74</v>
      </c>
      <c r="L26">
        <v>620200</v>
      </c>
      <c r="M26" s="21">
        <v>99</v>
      </c>
      <c r="P26" s="6">
        <v>1310000</v>
      </c>
    </row>
    <row r="27" spans="1:16" x14ac:dyDescent="0.3">
      <c r="A27" s="41">
        <v>25</v>
      </c>
      <c r="B27" s="42"/>
      <c r="C27" s="42"/>
      <c r="D27" s="42">
        <v>44000</v>
      </c>
      <c r="E27" s="44">
        <v>50</v>
      </c>
      <c r="F27" s="42" t="s">
        <v>9</v>
      </c>
      <c r="G27" s="42"/>
      <c r="H27" s="42">
        <v>222000</v>
      </c>
      <c r="I27" s="44">
        <v>75</v>
      </c>
      <c r="J27" s="42"/>
      <c r="K27" s="42"/>
      <c r="L27" s="42">
        <v>642000</v>
      </c>
      <c r="M27" s="44">
        <v>100</v>
      </c>
      <c r="N27" s="42"/>
      <c r="O27" s="42"/>
      <c r="P27" s="43">
        <v>1340000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41AB-0126-4359-BF9E-DD99B9EAC552}">
  <dimension ref="A1:M8"/>
  <sheetViews>
    <sheetView zoomScale="85" zoomScaleNormal="85" workbookViewId="0">
      <selection activeCell="D18" sqref="D18"/>
    </sheetView>
  </sheetViews>
  <sheetFormatPr defaultRowHeight="14" x14ac:dyDescent="0.3"/>
  <sheetData>
    <row r="1" spans="1:13" x14ac:dyDescent="0.3">
      <c r="A1" s="2" t="s">
        <v>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 x14ac:dyDescent="0.3">
      <c r="A2" s="5"/>
      <c r="M2" s="6"/>
    </row>
    <row r="3" spans="1:13" x14ac:dyDescent="0.3">
      <c r="A3" s="15"/>
      <c r="B3" s="20" t="s">
        <v>2</v>
      </c>
      <c r="C3" s="16"/>
      <c r="D3" s="20" t="s">
        <v>3</v>
      </c>
      <c r="E3" s="16"/>
      <c r="F3" s="20" t="s">
        <v>4</v>
      </c>
      <c r="G3" s="16"/>
      <c r="H3" s="20" t="s">
        <v>5</v>
      </c>
      <c r="I3" s="16"/>
      <c r="J3" s="20" t="s">
        <v>6</v>
      </c>
      <c r="K3" s="16"/>
      <c r="L3" s="20" t="s">
        <v>7</v>
      </c>
      <c r="M3" s="17"/>
    </row>
    <row r="4" spans="1:13" x14ac:dyDescent="0.3">
      <c r="A4" s="5" t="s">
        <v>37</v>
      </c>
      <c r="B4" s="21"/>
      <c r="C4" s="7">
        <v>0.05</v>
      </c>
      <c r="D4" s="21"/>
      <c r="E4" s="7">
        <v>0.1</v>
      </c>
      <c r="F4" s="21"/>
      <c r="G4" s="7">
        <v>0.15</v>
      </c>
      <c r="H4" s="21"/>
      <c r="I4" s="7">
        <v>0.2</v>
      </c>
      <c r="J4" s="21"/>
      <c r="K4" s="7">
        <v>0.3</v>
      </c>
      <c r="L4" s="21"/>
      <c r="M4" s="8">
        <v>0.5</v>
      </c>
    </row>
    <row r="5" spans="1:13" x14ac:dyDescent="0.3">
      <c r="A5" s="15"/>
      <c r="B5" s="20"/>
      <c r="C5" s="16"/>
      <c r="D5" s="20"/>
      <c r="E5" s="16"/>
      <c r="F5" s="20"/>
      <c r="G5" s="16"/>
      <c r="H5" s="20"/>
      <c r="I5" s="16"/>
      <c r="J5" s="20"/>
      <c r="K5" s="16"/>
      <c r="L5" s="20"/>
      <c r="M5" s="17"/>
    </row>
    <row r="6" spans="1:13" x14ac:dyDescent="0.3">
      <c r="A6" s="5" t="s">
        <v>38</v>
      </c>
      <c r="B6" s="21"/>
      <c r="C6" s="9">
        <v>9.9000000000000005E-2</v>
      </c>
      <c r="D6" s="21"/>
      <c r="E6" s="9">
        <f>E4+(0.2%*49)</f>
        <v>0.19800000000000001</v>
      </c>
      <c r="F6" s="23"/>
      <c r="G6" s="9">
        <f>G4+(0.3%*49)</f>
        <v>0.29699999999999999</v>
      </c>
      <c r="H6" s="23"/>
      <c r="I6" s="9">
        <f>I4+(0.4%*49)</f>
        <v>0.39600000000000002</v>
      </c>
      <c r="J6" s="23"/>
      <c r="K6" s="9">
        <f>K4+(0.6%*49)</f>
        <v>0.59399999999999997</v>
      </c>
      <c r="L6" s="23"/>
      <c r="M6" s="10">
        <f>M4+(1%*49)</f>
        <v>0.99</v>
      </c>
    </row>
    <row r="7" spans="1:13" x14ac:dyDescent="0.3">
      <c r="A7" s="15"/>
      <c r="B7" s="20"/>
      <c r="C7" s="16"/>
      <c r="D7" s="20"/>
      <c r="E7" s="18"/>
      <c r="F7" s="20"/>
      <c r="G7" s="18"/>
      <c r="H7" s="20"/>
      <c r="I7" s="18"/>
      <c r="J7" s="20"/>
      <c r="K7" s="18"/>
      <c r="L7" s="20"/>
      <c r="M7" s="19"/>
    </row>
    <row r="8" spans="1:13" ht="14.55" thickBot="1" x14ac:dyDescent="0.35">
      <c r="A8" s="11" t="s">
        <v>39</v>
      </c>
      <c r="B8" s="22"/>
      <c r="C8" s="13">
        <v>0.14899999999999999</v>
      </c>
      <c r="D8" s="22"/>
      <c r="E8" s="13">
        <f>E6+(0.2%*50)</f>
        <v>0.29800000000000004</v>
      </c>
      <c r="F8" s="22"/>
      <c r="G8" s="13">
        <f>G6+(0.3%*50)</f>
        <v>0.44699999999999995</v>
      </c>
      <c r="H8" s="22"/>
      <c r="I8" s="13">
        <f>I6+(0.4%*50)</f>
        <v>0.59600000000000009</v>
      </c>
      <c r="J8" s="22"/>
      <c r="K8" s="13">
        <f>K6+(0.6%*50)</f>
        <v>0.89399999999999991</v>
      </c>
      <c r="L8" s="22"/>
      <c r="M8" s="14">
        <f>M6+(1%*50)</f>
        <v>1.49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9016-6508-48D0-851C-DBB0601421F8}">
  <dimension ref="A1:X17"/>
  <sheetViews>
    <sheetView tabSelected="1" zoomScale="145" zoomScaleNormal="145" workbookViewId="0">
      <selection activeCell="J5" sqref="J5"/>
    </sheetView>
  </sheetViews>
  <sheetFormatPr defaultRowHeight="14" x14ac:dyDescent="0.3"/>
  <cols>
    <col min="1" max="1" width="18.19921875" bestFit="1" customWidth="1"/>
    <col min="24" max="24" width="9.09765625" bestFit="1" customWidth="1"/>
  </cols>
  <sheetData>
    <row r="1" spans="1:24" ht="14.55" thickBot="1" x14ac:dyDescent="0.35">
      <c r="A1">
        <v>0.65300999999999998</v>
      </c>
      <c r="B1">
        <v>0.83958999999999995</v>
      </c>
      <c r="C1">
        <f>B5+D5+F5+H5+N3+N4+N5+P3+P4+P5+R3+R4+R5+T3+T4+T5+V3+V4+V5+X3+X4+X5</f>
        <v>7.9331280000000017</v>
      </c>
      <c r="D1">
        <f>B5+D5+F5+H5</f>
        <v>6.7449500000000002</v>
      </c>
      <c r="M1" t="s">
        <v>113</v>
      </c>
    </row>
    <row r="2" spans="1:24" x14ac:dyDescent="0.3">
      <c r="A2" s="51"/>
      <c r="B2" s="3" t="s">
        <v>146</v>
      </c>
      <c r="C2" s="3"/>
      <c r="D2" s="3" t="s">
        <v>22</v>
      </c>
      <c r="E2" s="3"/>
      <c r="F2" s="3" t="s">
        <v>32</v>
      </c>
      <c r="G2" s="3"/>
      <c r="H2" s="3" t="s">
        <v>110</v>
      </c>
      <c r="I2" s="3"/>
      <c r="J2" s="3" t="s">
        <v>112</v>
      </c>
      <c r="K2" s="3"/>
      <c r="L2" s="3" t="s">
        <v>147</v>
      </c>
      <c r="M2" s="3"/>
      <c r="N2" s="3" t="s">
        <v>114</v>
      </c>
      <c r="O2" s="3"/>
      <c r="P2" s="3" t="s">
        <v>115</v>
      </c>
      <c r="Q2" s="3"/>
      <c r="R2" s="3" t="s">
        <v>116</v>
      </c>
      <c r="S2" s="3"/>
      <c r="T2" s="3" t="s">
        <v>152</v>
      </c>
      <c r="U2" s="3"/>
      <c r="V2" s="3" t="s">
        <v>153</v>
      </c>
      <c r="W2" s="3"/>
      <c r="X2" s="4" t="s">
        <v>154</v>
      </c>
    </row>
    <row r="3" spans="1:24" x14ac:dyDescent="0.3">
      <c r="A3" s="5" t="s">
        <v>151</v>
      </c>
      <c r="B3">
        <v>0.65300999999999998</v>
      </c>
      <c r="D3">
        <v>0.55972</v>
      </c>
      <c r="F3">
        <v>0.55972</v>
      </c>
      <c r="H3">
        <v>2.25</v>
      </c>
      <c r="J3">
        <v>39.6</v>
      </c>
      <c r="L3">
        <v>12.47</v>
      </c>
      <c r="N3">
        <v>9.4500000000000001E-2</v>
      </c>
      <c r="P3">
        <v>0.09</v>
      </c>
      <c r="R3">
        <v>1.2149999999999999E-2</v>
      </c>
      <c r="T3">
        <v>2.7899999999999999E-3</v>
      </c>
      <c r="V3">
        <v>2.5599999999999999E-4</v>
      </c>
      <c r="X3" s="6">
        <v>1.4200000000000001E-4</v>
      </c>
    </row>
    <row r="4" spans="1:24" x14ac:dyDescent="0.3">
      <c r="A4" s="5" t="s">
        <v>108</v>
      </c>
      <c r="B4">
        <v>0</v>
      </c>
      <c r="D4">
        <v>0</v>
      </c>
      <c r="F4">
        <v>0</v>
      </c>
      <c r="H4">
        <v>11</v>
      </c>
      <c r="J4">
        <v>9</v>
      </c>
      <c r="L4">
        <v>0</v>
      </c>
      <c r="N4">
        <v>0.19350000000000001</v>
      </c>
      <c r="P4">
        <v>0.17549999999999999</v>
      </c>
      <c r="R4">
        <v>2.3699999999999999E-2</v>
      </c>
      <c r="T4">
        <v>1.3699999999999999E-3</v>
      </c>
      <c r="V4">
        <v>1.34E-4</v>
      </c>
      <c r="X4" s="6">
        <v>4.6E-5</v>
      </c>
    </row>
    <row r="5" spans="1:24" x14ac:dyDescent="0.3">
      <c r="A5" s="5" t="s">
        <v>109</v>
      </c>
      <c r="B5">
        <f>B3+(B3*(B4^2)*0.01)</f>
        <v>0.65300999999999998</v>
      </c>
      <c r="D5">
        <f t="shared" ref="D5:H5" si="0">D3+(D3*(D4^2)*0.01)</f>
        <v>0.55972</v>
      </c>
      <c r="F5">
        <f t="shared" si="0"/>
        <v>0.55972</v>
      </c>
      <c r="H5">
        <f t="shared" si="0"/>
        <v>4.9725000000000001</v>
      </c>
      <c r="J5">
        <f>J3+(J3*J4^2)*0.01</f>
        <v>71.676000000000002</v>
      </c>
      <c r="L5" t="s">
        <v>155</v>
      </c>
      <c r="N5">
        <v>0.29025000000000001</v>
      </c>
      <c r="P5">
        <v>0.26324999999999998</v>
      </c>
      <c r="R5">
        <v>3.5999999999999997E-2</v>
      </c>
      <c r="T5">
        <v>4.1000000000000003E-3</v>
      </c>
      <c r="V5">
        <v>3.9300000000000001E-4</v>
      </c>
      <c r="X5" s="6">
        <v>9.7E-5</v>
      </c>
    </row>
    <row r="6" spans="1:24" x14ac:dyDescent="0.3">
      <c r="A6" s="5"/>
      <c r="L6">
        <v>385.75</v>
      </c>
      <c r="X6" s="6"/>
    </row>
    <row r="7" spans="1:24" x14ac:dyDescent="0.3">
      <c r="A7" s="5" t="s">
        <v>149</v>
      </c>
      <c r="C7">
        <f>B5+D5+F5+H5</f>
        <v>6.7449500000000002</v>
      </c>
      <c r="E7" t="s">
        <v>118</v>
      </c>
      <c r="G7">
        <f>$C7*(J5*0.01)</f>
        <v>4.8345103620000005</v>
      </c>
      <c r="X7" s="6"/>
    </row>
    <row r="8" spans="1:24" x14ac:dyDescent="0.3">
      <c r="A8" s="5"/>
      <c r="X8" s="6"/>
    </row>
    <row r="9" spans="1:24" x14ac:dyDescent="0.3">
      <c r="A9" s="5" t="s">
        <v>119</v>
      </c>
      <c r="C9">
        <f>($C7*L3*0.01)+($C7*L4*0.01)</f>
        <v>0.84109526499999998</v>
      </c>
      <c r="E9" t="s">
        <v>109</v>
      </c>
      <c r="G9">
        <f>+$C7+C9+G7</f>
        <v>12.420555627000001</v>
      </c>
      <c r="X9" s="6"/>
    </row>
    <row r="10" spans="1:24" x14ac:dyDescent="0.3">
      <c r="A10" s="5"/>
      <c r="X10" s="6"/>
    </row>
    <row r="11" spans="1:24" x14ac:dyDescent="0.3">
      <c r="A11" s="5" t="s">
        <v>148</v>
      </c>
      <c r="C11">
        <f>G9*(L6*0.01+0.05)</f>
        <v>48.533321112502499</v>
      </c>
      <c r="E11" t="s">
        <v>150</v>
      </c>
      <c r="G11">
        <f>C11+G9</f>
        <v>60.953876739502498</v>
      </c>
      <c r="X11" s="6"/>
    </row>
    <row r="12" spans="1:24" ht="14.55" thickBot="1" x14ac:dyDescent="0.3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40"/>
    </row>
    <row r="16" spans="1:24" x14ac:dyDescent="0.3">
      <c r="C16">
        <v>25</v>
      </c>
    </row>
    <row r="17" spans="3:3" x14ac:dyDescent="0.3">
      <c r="C17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164D-F992-4C3D-90C3-ADD2EDCBA6F5}">
  <dimension ref="A1:X9"/>
  <sheetViews>
    <sheetView zoomScale="145" zoomScaleNormal="145" workbookViewId="0">
      <selection activeCell="J5" sqref="J5"/>
    </sheetView>
  </sheetViews>
  <sheetFormatPr defaultRowHeight="14" x14ac:dyDescent="0.3"/>
  <cols>
    <col min="1" max="1" width="16.69921875" bestFit="1" customWidth="1"/>
  </cols>
  <sheetData>
    <row r="1" spans="1:24" ht="14.55" thickBot="1" x14ac:dyDescent="0.35">
      <c r="B1">
        <f>B5+D5+F5+H5</f>
        <v>25.905000000000001</v>
      </c>
      <c r="C1">
        <f>B5+D5+F5+H5+N3+N4+N5+P3+P4+P5+R5+R4+R3+T3+T4+T5+V3+V4+V5+X3+X4+X5</f>
        <v>33.828542999999996</v>
      </c>
      <c r="M1" t="s">
        <v>113</v>
      </c>
    </row>
    <row r="2" spans="1:24" x14ac:dyDescent="0.3">
      <c r="A2" s="51"/>
      <c r="B2" s="3" t="s">
        <v>106</v>
      </c>
      <c r="C2" s="3"/>
      <c r="D2" s="3" t="s">
        <v>25</v>
      </c>
      <c r="E2" s="3"/>
      <c r="F2" s="3" t="s">
        <v>107</v>
      </c>
      <c r="G2" s="3"/>
      <c r="H2" s="3" t="s">
        <v>110</v>
      </c>
      <c r="I2" s="3"/>
      <c r="J2" s="3" t="s">
        <v>112</v>
      </c>
      <c r="K2" s="3"/>
      <c r="L2" s="3" t="s">
        <v>117</v>
      </c>
      <c r="M2" s="3"/>
      <c r="N2" s="3" t="s">
        <v>114</v>
      </c>
      <c r="O2" s="3"/>
      <c r="P2" s="3" t="s">
        <v>115</v>
      </c>
      <c r="Q2" s="3"/>
      <c r="R2" s="3" t="s">
        <v>116</v>
      </c>
      <c r="S2" s="3"/>
      <c r="T2" s="3" t="s">
        <v>152</v>
      </c>
      <c r="U2" s="3"/>
      <c r="V2" s="3" t="s">
        <v>153</v>
      </c>
      <c r="W2" s="3"/>
      <c r="X2" s="4" t="s">
        <v>154</v>
      </c>
    </row>
    <row r="3" spans="1:24" x14ac:dyDescent="0.3">
      <c r="A3" s="5" t="s">
        <v>121</v>
      </c>
      <c r="B3">
        <v>4.66</v>
      </c>
      <c r="D3">
        <v>2.8</v>
      </c>
      <c r="F3">
        <v>1.87</v>
      </c>
      <c r="H3">
        <v>7.5</v>
      </c>
      <c r="J3">
        <v>39.6</v>
      </c>
      <c r="L3">
        <v>17.07</v>
      </c>
      <c r="N3">
        <v>1.82</v>
      </c>
      <c r="P3">
        <v>2.12</v>
      </c>
      <c r="R3">
        <v>0.16200000000000001</v>
      </c>
      <c r="T3">
        <v>1.0800000000000001E-2</v>
      </c>
      <c r="V3">
        <v>1.01E-3</v>
      </c>
      <c r="X3" s="6">
        <v>2.4899999999999998E-4</v>
      </c>
    </row>
    <row r="4" spans="1:24" x14ac:dyDescent="0.3">
      <c r="A4" s="5" t="s">
        <v>108</v>
      </c>
      <c r="B4">
        <v>0</v>
      </c>
      <c r="D4">
        <v>0</v>
      </c>
      <c r="F4">
        <v>0</v>
      </c>
      <c r="H4">
        <v>11</v>
      </c>
      <c r="J4">
        <v>9</v>
      </c>
      <c r="N4">
        <v>1.0900000000000001</v>
      </c>
      <c r="P4">
        <v>1.26</v>
      </c>
      <c r="R4">
        <v>9.5399999999999999E-2</v>
      </c>
      <c r="T4">
        <v>1.763E-2</v>
      </c>
      <c r="V4">
        <v>1.75E-3</v>
      </c>
      <c r="X4" s="6">
        <v>6.0999999999999997E-4</v>
      </c>
    </row>
    <row r="5" spans="1:24" x14ac:dyDescent="0.3">
      <c r="A5" s="5" t="s">
        <v>109</v>
      </c>
      <c r="B5">
        <f>B3+(B3*(B4^2)*0.01)</f>
        <v>4.66</v>
      </c>
      <c r="D5">
        <f t="shared" ref="D5:H5" si="0">D3+(D3*(D4^2)*0.01)</f>
        <v>2.8</v>
      </c>
      <c r="F5">
        <f t="shared" si="0"/>
        <v>1.87</v>
      </c>
      <c r="H5">
        <f t="shared" si="0"/>
        <v>16.575000000000003</v>
      </c>
      <c r="J5">
        <f>J3+(J3*J4^2)*0.01</f>
        <v>71.676000000000002</v>
      </c>
      <c r="N5">
        <v>0.76500000000000001</v>
      </c>
      <c r="P5">
        <v>0.50700000000000001</v>
      </c>
      <c r="R5">
        <v>6.3899999999999998E-2</v>
      </c>
      <c r="T5">
        <v>7.1399999999999996E-3</v>
      </c>
      <c r="V5">
        <v>6.7500000000000004E-4</v>
      </c>
      <c r="X5" s="6">
        <v>3.79E-4</v>
      </c>
    </row>
    <row r="6" spans="1:24" x14ac:dyDescent="0.3">
      <c r="A6" s="5"/>
      <c r="X6" s="6"/>
    </row>
    <row r="7" spans="1:24" x14ac:dyDescent="0.3">
      <c r="A7" s="5" t="s">
        <v>111</v>
      </c>
      <c r="C7">
        <f>B5+D5+F5+H5</f>
        <v>25.905000000000001</v>
      </c>
      <c r="E7" t="s">
        <v>118</v>
      </c>
      <c r="G7">
        <f>C7*(J5*0.01)</f>
        <v>18.567667800000002</v>
      </c>
      <c r="X7" s="6"/>
    </row>
    <row r="8" spans="1:24" x14ac:dyDescent="0.3">
      <c r="A8" s="5"/>
      <c r="X8" s="6"/>
    </row>
    <row r="9" spans="1:24" ht="14.55" thickBot="1" x14ac:dyDescent="0.35">
      <c r="A9" s="11" t="s">
        <v>119</v>
      </c>
      <c r="B9" s="12"/>
      <c r="C9" s="12">
        <f>C7*L3*0.01</f>
        <v>4.4219835000000005</v>
      </c>
      <c r="D9" s="12"/>
      <c r="E9" s="12" t="s">
        <v>120</v>
      </c>
      <c r="F9" s="12"/>
      <c r="G9" s="12">
        <f>+C7+C9+G7</f>
        <v>48.894651300000007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4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8FCA-3933-44ED-B760-568AB612CE7A}">
  <dimension ref="A1:J23"/>
  <sheetViews>
    <sheetView zoomScale="115" zoomScaleNormal="115" workbookViewId="0">
      <selection activeCell="F28" sqref="F28"/>
    </sheetView>
  </sheetViews>
  <sheetFormatPr defaultRowHeight="14" x14ac:dyDescent="0.3"/>
  <cols>
    <col min="1" max="1" width="17.296875" bestFit="1" customWidth="1"/>
    <col min="2" max="2" width="36.3984375" bestFit="1" customWidth="1"/>
    <col min="3" max="3" width="11.09765625" bestFit="1" customWidth="1"/>
    <col min="4" max="4" width="9.296875" bestFit="1" customWidth="1"/>
    <col min="5" max="5" width="18.3984375" bestFit="1" customWidth="1"/>
    <col min="6" max="6" width="14.69921875" bestFit="1" customWidth="1"/>
    <col min="7" max="7" width="11.69921875" bestFit="1" customWidth="1"/>
    <col min="8" max="8" width="20.3984375" bestFit="1" customWidth="1"/>
    <col min="9" max="9" width="16.3984375" bestFit="1" customWidth="1"/>
    <col min="10" max="10" width="18.5" bestFit="1" customWidth="1"/>
  </cols>
  <sheetData>
    <row r="1" spans="1:10" x14ac:dyDescent="0.3">
      <c r="A1" s="58" t="s">
        <v>122</v>
      </c>
      <c r="B1" s="59" t="s">
        <v>123</v>
      </c>
      <c r="C1" s="59" t="s">
        <v>124</v>
      </c>
      <c r="D1" s="59" t="s">
        <v>125</v>
      </c>
      <c r="E1" s="59" t="s">
        <v>143</v>
      </c>
      <c r="F1" s="59" t="s">
        <v>126</v>
      </c>
      <c r="G1" s="59" t="s">
        <v>127</v>
      </c>
      <c r="H1" s="59" t="s">
        <v>139</v>
      </c>
      <c r="I1" s="59" t="s">
        <v>183</v>
      </c>
      <c r="J1" s="60" t="s">
        <v>158</v>
      </c>
    </row>
    <row r="2" spans="1:10" x14ac:dyDescent="0.3">
      <c r="A2" s="5"/>
      <c r="B2" s="61" t="s">
        <v>137</v>
      </c>
      <c r="C2" s="31"/>
      <c r="D2" s="31"/>
      <c r="E2" s="31"/>
      <c r="F2" s="31"/>
      <c r="G2" s="31"/>
      <c r="H2" s="31"/>
      <c r="I2" s="31"/>
      <c r="J2" s="53"/>
    </row>
    <row r="3" spans="1:10" x14ac:dyDescent="0.3">
      <c r="A3" s="37" t="s">
        <v>128</v>
      </c>
      <c r="B3" s="54"/>
      <c r="C3" s="38">
        <v>0</v>
      </c>
      <c r="D3" s="38">
        <v>8</v>
      </c>
      <c r="E3" s="38">
        <v>1</v>
      </c>
      <c r="F3" s="38">
        <v>8</v>
      </c>
      <c r="G3" s="38">
        <v>880</v>
      </c>
      <c r="H3" s="38" t="s">
        <v>73</v>
      </c>
      <c r="I3" s="38">
        <v>2</v>
      </c>
      <c r="J3" s="52" t="s">
        <v>159</v>
      </c>
    </row>
    <row r="4" spans="1:10" x14ac:dyDescent="0.3">
      <c r="A4" s="5"/>
      <c r="B4" s="61" t="s">
        <v>138</v>
      </c>
      <c r="C4" s="31"/>
      <c r="D4" s="31"/>
      <c r="E4" s="31"/>
      <c r="F4" s="31"/>
      <c r="G4" s="31"/>
      <c r="H4" s="31"/>
      <c r="I4" s="31"/>
      <c r="J4" s="53"/>
    </row>
    <row r="5" spans="1:10" x14ac:dyDescent="0.3">
      <c r="A5" s="37" t="s">
        <v>129</v>
      </c>
      <c r="B5" s="54"/>
      <c r="C5" s="38">
        <v>0</v>
      </c>
      <c r="D5" s="38" t="s">
        <v>140</v>
      </c>
      <c r="E5" s="38">
        <v>0.1</v>
      </c>
      <c r="F5" s="38">
        <v>20</v>
      </c>
      <c r="G5" s="38">
        <v>7150</v>
      </c>
      <c r="H5" s="38" t="s">
        <v>74</v>
      </c>
      <c r="I5" s="38" t="s">
        <v>156</v>
      </c>
      <c r="J5" s="52" t="s">
        <v>160</v>
      </c>
    </row>
    <row r="6" spans="1:10" x14ac:dyDescent="0.3">
      <c r="A6" s="5"/>
      <c r="B6" s="61" t="s">
        <v>166</v>
      </c>
      <c r="C6" s="31"/>
      <c r="D6" s="31"/>
      <c r="E6" s="31"/>
      <c r="F6" s="31"/>
      <c r="G6" s="31"/>
      <c r="H6" s="31"/>
      <c r="I6" s="31"/>
      <c r="J6" s="53"/>
    </row>
    <row r="7" spans="1:10" x14ac:dyDescent="0.3">
      <c r="A7" s="37" t="s">
        <v>130</v>
      </c>
      <c r="B7" s="54" t="s">
        <v>167</v>
      </c>
      <c r="C7" s="38">
        <v>30</v>
      </c>
      <c r="D7" s="55">
        <v>0.5</v>
      </c>
      <c r="E7" s="56">
        <v>3.0000000000000001E-3</v>
      </c>
      <c r="F7" s="38">
        <v>13</v>
      </c>
      <c r="G7" s="38">
        <v>2030</v>
      </c>
      <c r="H7" s="38" t="s">
        <v>74</v>
      </c>
      <c r="I7" s="38">
        <v>3</v>
      </c>
      <c r="J7" s="52">
        <v>5</v>
      </c>
    </row>
    <row r="8" spans="1:10" x14ac:dyDescent="0.3">
      <c r="A8" s="5"/>
      <c r="B8" s="61" t="s">
        <v>168</v>
      </c>
      <c r="C8" s="31"/>
      <c r="D8" s="31"/>
      <c r="E8" s="31"/>
      <c r="F8" s="31"/>
      <c r="G8" s="31"/>
      <c r="H8" s="31"/>
      <c r="I8" s="31"/>
      <c r="J8" s="53"/>
    </row>
    <row r="9" spans="1:10" x14ac:dyDescent="0.3">
      <c r="A9" s="37" t="s">
        <v>131</v>
      </c>
      <c r="B9" s="54" t="s">
        <v>169</v>
      </c>
      <c r="C9" s="38">
        <v>60</v>
      </c>
      <c r="D9" s="38">
        <v>5</v>
      </c>
      <c r="E9" s="38">
        <v>1</v>
      </c>
      <c r="F9" s="38">
        <v>5</v>
      </c>
      <c r="G9" s="38">
        <v>540</v>
      </c>
      <c r="H9" s="38" t="s">
        <v>73</v>
      </c>
      <c r="I9" s="38">
        <v>2</v>
      </c>
      <c r="J9" s="52" t="s">
        <v>161</v>
      </c>
    </row>
    <row r="10" spans="1:10" x14ac:dyDescent="0.3">
      <c r="A10" s="5"/>
      <c r="B10" s="61" t="s">
        <v>170</v>
      </c>
      <c r="C10" s="31"/>
      <c r="D10" s="31"/>
      <c r="E10" s="31"/>
      <c r="F10" s="31"/>
      <c r="G10" s="31"/>
      <c r="H10" s="31"/>
      <c r="I10" s="31"/>
      <c r="J10" s="53"/>
    </row>
    <row r="11" spans="1:10" x14ac:dyDescent="0.3">
      <c r="A11" s="37" t="s">
        <v>172</v>
      </c>
      <c r="B11" s="54" t="s">
        <v>171</v>
      </c>
      <c r="C11" s="38">
        <v>90</v>
      </c>
      <c r="D11" s="38" t="s">
        <v>141</v>
      </c>
      <c r="E11" s="38">
        <v>0.1</v>
      </c>
      <c r="F11" s="38">
        <v>10</v>
      </c>
      <c r="G11" s="38">
        <v>950</v>
      </c>
      <c r="H11" s="38" t="s">
        <v>74</v>
      </c>
      <c r="I11" s="38" t="s">
        <v>156</v>
      </c>
      <c r="J11" s="52">
        <v>6</v>
      </c>
    </row>
    <row r="12" spans="1:10" x14ac:dyDescent="0.3">
      <c r="A12" s="5"/>
      <c r="B12" s="61" t="s">
        <v>173</v>
      </c>
      <c r="C12" s="31"/>
      <c r="D12" s="31"/>
      <c r="E12" s="31"/>
      <c r="F12" s="31"/>
      <c r="G12" s="31"/>
      <c r="H12" s="31"/>
      <c r="I12" s="31"/>
      <c r="J12" s="53"/>
    </row>
    <row r="13" spans="1:10" x14ac:dyDescent="0.3">
      <c r="A13" s="37" t="s">
        <v>132</v>
      </c>
      <c r="B13" s="54" t="s">
        <v>174</v>
      </c>
      <c r="C13" s="38">
        <v>120</v>
      </c>
      <c r="D13" s="38">
        <v>15</v>
      </c>
      <c r="E13" s="38">
        <v>1</v>
      </c>
      <c r="F13" s="38">
        <v>15</v>
      </c>
      <c r="G13" s="38">
        <v>2340</v>
      </c>
      <c r="H13" s="38" t="s">
        <v>74</v>
      </c>
      <c r="I13" s="38">
        <v>4</v>
      </c>
      <c r="J13" s="52">
        <v>0</v>
      </c>
    </row>
    <row r="14" spans="1:10" x14ac:dyDescent="0.3">
      <c r="A14" s="5"/>
      <c r="B14" s="61" t="s">
        <v>175</v>
      </c>
      <c r="C14" s="31"/>
      <c r="D14" s="31"/>
      <c r="E14" s="31"/>
      <c r="F14" s="31"/>
      <c r="G14" s="31"/>
      <c r="H14" s="31"/>
      <c r="I14" s="31"/>
      <c r="J14" s="53"/>
    </row>
    <row r="15" spans="1:10" x14ac:dyDescent="0.3">
      <c r="A15" s="37" t="s">
        <v>133</v>
      </c>
      <c r="B15" s="54" t="s">
        <v>176</v>
      </c>
      <c r="C15" s="38">
        <v>150</v>
      </c>
      <c r="D15" s="38">
        <v>30</v>
      </c>
      <c r="E15" s="57" t="s">
        <v>144</v>
      </c>
      <c r="F15" s="38">
        <v>10</v>
      </c>
      <c r="G15" s="38">
        <v>2340</v>
      </c>
      <c r="H15" s="38" t="s">
        <v>73</v>
      </c>
      <c r="I15" s="38">
        <v>2</v>
      </c>
      <c r="J15" s="52" t="s">
        <v>163</v>
      </c>
    </row>
    <row r="16" spans="1:10" x14ac:dyDescent="0.3">
      <c r="A16" s="5"/>
      <c r="B16" s="61" t="s">
        <v>177</v>
      </c>
      <c r="C16" s="31"/>
      <c r="D16" s="31"/>
      <c r="E16" s="31"/>
      <c r="F16" s="31"/>
      <c r="G16" s="31"/>
      <c r="H16" s="31"/>
      <c r="I16" s="31"/>
      <c r="J16" s="53"/>
    </row>
    <row r="17" spans="1:10" x14ac:dyDescent="0.3">
      <c r="A17" s="37" t="s">
        <v>134</v>
      </c>
      <c r="B17" s="54" t="s">
        <v>178</v>
      </c>
      <c r="C17" s="38">
        <v>180</v>
      </c>
      <c r="D17" s="38">
        <v>1200</v>
      </c>
      <c r="E17" s="38">
        <v>90</v>
      </c>
      <c r="F17" s="38">
        <v>10</v>
      </c>
      <c r="G17" s="38">
        <v>950</v>
      </c>
      <c r="H17" s="38" t="s">
        <v>74</v>
      </c>
      <c r="I17" s="38" t="s">
        <v>156</v>
      </c>
      <c r="J17" s="52">
        <v>6</v>
      </c>
    </row>
    <row r="18" spans="1:10" x14ac:dyDescent="0.3">
      <c r="A18" s="5"/>
      <c r="B18" s="61" t="s">
        <v>179</v>
      </c>
      <c r="C18" s="31"/>
      <c r="D18" s="31"/>
      <c r="E18" s="31"/>
      <c r="F18" s="31"/>
      <c r="G18" s="31"/>
      <c r="H18" s="31"/>
      <c r="I18" s="31"/>
      <c r="J18" s="53"/>
    </row>
    <row r="19" spans="1:10" x14ac:dyDescent="0.3">
      <c r="A19" s="37" t="s">
        <v>135</v>
      </c>
      <c r="B19" s="54" t="s">
        <v>180</v>
      </c>
      <c r="C19" s="38">
        <v>210</v>
      </c>
      <c r="D19" s="38" t="s">
        <v>142</v>
      </c>
      <c r="E19" s="38">
        <v>0.05</v>
      </c>
      <c r="F19" s="38">
        <v>25</v>
      </c>
      <c r="G19" s="38">
        <v>6150</v>
      </c>
      <c r="H19" s="38" t="s">
        <v>74</v>
      </c>
      <c r="I19" s="38" t="s">
        <v>156</v>
      </c>
      <c r="J19" s="52">
        <v>6</v>
      </c>
    </row>
    <row r="20" spans="1:10" x14ac:dyDescent="0.3">
      <c r="A20" s="5"/>
      <c r="B20" s="61" t="s">
        <v>181</v>
      </c>
      <c r="C20" s="31"/>
      <c r="D20" s="31"/>
      <c r="E20" s="31"/>
      <c r="F20" s="31"/>
      <c r="G20" s="31"/>
      <c r="H20" s="31"/>
      <c r="I20" s="31"/>
      <c r="J20" s="53"/>
    </row>
    <row r="21" spans="1:10" x14ac:dyDescent="0.3">
      <c r="A21" s="37" t="s">
        <v>136</v>
      </c>
      <c r="B21" s="54" t="s">
        <v>182</v>
      </c>
      <c r="C21" s="38">
        <v>240</v>
      </c>
      <c r="D21" s="38" t="s">
        <v>141</v>
      </c>
      <c r="E21" s="38">
        <v>0.05</v>
      </c>
      <c r="F21" s="38">
        <v>20</v>
      </c>
      <c r="G21" s="38">
        <v>6150</v>
      </c>
      <c r="H21" s="38" t="s">
        <v>145</v>
      </c>
      <c r="I21" s="38">
        <v>4</v>
      </c>
      <c r="J21" s="52" t="s">
        <v>162</v>
      </c>
    </row>
    <row r="22" spans="1:10" x14ac:dyDescent="0.3">
      <c r="B22" s="50"/>
      <c r="C22" s="30"/>
      <c r="D22" s="30"/>
      <c r="E22" s="30"/>
      <c r="F22" s="30"/>
      <c r="G22" s="30"/>
      <c r="H22" s="30"/>
      <c r="I22" s="30"/>
      <c r="J22" s="30"/>
    </row>
    <row r="23" spans="1:10" x14ac:dyDescent="0.3">
      <c r="A23" t="s">
        <v>157</v>
      </c>
      <c r="B23" s="5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390B-61A7-48A7-93DF-3EE72E6DDF23}">
  <dimension ref="A1:N45"/>
  <sheetViews>
    <sheetView topLeftCell="A15" zoomScale="115" zoomScaleNormal="115" workbookViewId="0">
      <selection activeCell="R34" sqref="R34"/>
    </sheetView>
  </sheetViews>
  <sheetFormatPr defaultRowHeight="14" x14ac:dyDescent="0.3"/>
  <cols>
    <col min="1" max="1" width="19.796875" bestFit="1" customWidth="1"/>
  </cols>
  <sheetData>
    <row r="1" spans="1:14" x14ac:dyDescent="0.3">
      <c r="A1" s="2" t="s">
        <v>59</v>
      </c>
      <c r="B1" s="39" t="s">
        <v>60</v>
      </c>
      <c r="C1" s="3"/>
      <c r="D1" s="39" t="s">
        <v>61</v>
      </c>
      <c r="E1" s="3"/>
      <c r="F1" s="39" t="s">
        <v>62</v>
      </c>
      <c r="G1" s="3"/>
      <c r="H1" s="39" t="s">
        <v>63</v>
      </c>
      <c r="I1" s="3"/>
      <c r="J1" s="39" t="s">
        <v>63</v>
      </c>
      <c r="K1" s="3"/>
      <c r="L1" s="39" t="s">
        <v>64</v>
      </c>
      <c r="M1" s="4"/>
    </row>
    <row r="2" spans="1:14" x14ac:dyDescent="0.3">
      <c r="A2" s="37"/>
      <c r="B2" s="35" t="s">
        <v>65</v>
      </c>
      <c r="C2" s="36"/>
      <c r="D2" s="35" t="s">
        <v>66</v>
      </c>
      <c r="E2" s="36"/>
      <c r="F2" s="35" t="s">
        <v>67</v>
      </c>
      <c r="G2" s="36"/>
      <c r="H2" s="35" t="s">
        <v>68</v>
      </c>
      <c r="I2" s="36"/>
      <c r="J2" s="35" t="s">
        <v>69</v>
      </c>
      <c r="K2" s="36"/>
      <c r="L2" s="21" t="s">
        <v>70</v>
      </c>
      <c r="M2" s="6"/>
    </row>
    <row r="3" spans="1:14" x14ac:dyDescent="0.3">
      <c r="A3" s="5" t="s">
        <v>71</v>
      </c>
      <c r="B3" s="21"/>
      <c r="D3" s="21"/>
      <c r="F3" s="21"/>
      <c r="H3" s="21"/>
      <c r="J3" s="21"/>
      <c r="L3" s="20"/>
      <c r="M3" s="17"/>
    </row>
    <row r="4" spans="1:14" x14ac:dyDescent="0.3">
      <c r="A4" s="5"/>
      <c r="B4" s="21"/>
      <c r="C4">
        <v>12</v>
      </c>
      <c r="D4" s="21"/>
      <c r="E4">
        <f>C4*8</f>
        <v>96</v>
      </c>
      <c r="F4" s="21"/>
      <c r="G4" s="30" t="s">
        <v>72</v>
      </c>
      <c r="H4" s="31"/>
      <c r="I4" s="30" t="s">
        <v>73</v>
      </c>
      <c r="J4" s="31"/>
      <c r="K4" s="30" t="s">
        <v>73</v>
      </c>
      <c r="L4" s="21"/>
      <c r="M4" s="29" t="s">
        <v>74</v>
      </c>
    </row>
    <row r="5" spans="1:14" x14ac:dyDescent="0.3">
      <c r="A5" s="15" t="s">
        <v>75</v>
      </c>
      <c r="B5" s="20"/>
      <c r="C5" s="16"/>
      <c r="D5" s="20"/>
      <c r="E5" s="16"/>
      <c r="F5" s="20"/>
      <c r="G5" s="27"/>
      <c r="H5" s="28"/>
      <c r="I5" s="27"/>
      <c r="J5" s="28"/>
      <c r="K5" s="27"/>
      <c r="L5" s="20"/>
      <c r="M5" s="17"/>
    </row>
    <row r="6" spans="1:14" x14ac:dyDescent="0.3">
      <c r="A6" s="5"/>
      <c r="B6" s="21"/>
      <c r="C6">
        <v>100</v>
      </c>
      <c r="D6" s="21"/>
      <c r="E6">
        <f>C6*8</f>
        <v>800</v>
      </c>
      <c r="F6" s="21"/>
      <c r="G6" s="30" t="s">
        <v>73</v>
      </c>
      <c r="H6" s="31"/>
      <c r="I6" s="30" t="s">
        <v>73</v>
      </c>
      <c r="J6" s="31"/>
      <c r="K6" s="30" t="s">
        <v>73</v>
      </c>
      <c r="L6" s="21"/>
      <c r="M6" s="29" t="s">
        <v>74</v>
      </c>
    </row>
    <row r="7" spans="1:14" x14ac:dyDescent="0.3">
      <c r="A7" s="15" t="s">
        <v>76</v>
      </c>
      <c r="B7" s="20"/>
      <c r="C7" s="16"/>
      <c r="D7" s="20"/>
      <c r="E7" s="16"/>
      <c r="F7" s="20"/>
      <c r="G7" s="27"/>
      <c r="H7" s="28"/>
      <c r="I7" s="27"/>
      <c r="J7" s="28"/>
      <c r="K7" s="27"/>
      <c r="L7" s="20"/>
      <c r="M7" s="17"/>
    </row>
    <row r="8" spans="1:14" x14ac:dyDescent="0.3">
      <c r="A8" s="5"/>
      <c r="B8" s="21"/>
      <c r="C8">
        <v>40</v>
      </c>
      <c r="D8" s="21"/>
      <c r="E8">
        <f>C8*8</f>
        <v>320</v>
      </c>
      <c r="F8" s="21"/>
      <c r="G8" s="30" t="s">
        <v>73</v>
      </c>
      <c r="H8" s="31"/>
      <c r="I8" s="30" t="s">
        <v>73</v>
      </c>
      <c r="J8" s="31"/>
      <c r="K8" s="30" t="s">
        <v>74</v>
      </c>
      <c r="L8" s="21"/>
      <c r="M8" s="29" t="s">
        <v>74</v>
      </c>
    </row>
    <row r="9" spans="1:14" x14ac:dyDescent="0.3">
      <c r="A9" s="15" t="s">
        <v>77</v>
      </c>
      <c r="B9" s="20"/>
      <c r="C9" s="16"/>
      <c r="D9" s="20"/>
      <c r="E9" s="16"/>
      <c r="F9" s="20"/>
      <c r="G9" s="27"/>
      <c r="H9" s="28"/>
      <c r="I9" s="27"/>
      <c r="J9" s="28"/>
      <c r="K9" s="27"/>
      <c r="L9" s="20"/>
      <c r="M9" s="17"/>
    </row>
    <row r="10" spans="1:14" x14ac:dyDescent="0.3">
      <c r="A10" s="5"/>
      <c r="B10" s="21"/>
      <c r="C10">
        <v>40</v>
      </c>
      <c r="D10" s="21"/>
      <c r="E10">
        <f>C10*8</f>
        <v>320</v>
      </c>
      <c r="F10" s="21"/>
      <c r="G10" s="30" t="s">
        <v>74</v>
      </c>
      <c r="H10" s="31"/>
      <c r="I10" s="30" t="s">
        <v>73</v>
      </c>
      <c r="J10" s="31"/>
      <c r="K10" s="30" t="s">
        <v>73</v>
      </c>
      <c r="L10" s="21"/>
      <c r="M10" s="29" t="s">
        <v>74</v>
      </c>
    </row>
    <row r="11" spans="1:14" x14ac:dyDescent="0.3">
      <c r="A11" s="15" t="s">
        <v>78</v>
      </c>
      <c r="B11" s="20"/>
      <c r="C11" s="16"/>
      <c r="D11" s="20"/>
      <c r="E11" s="16"/>
      <c r="F11" s="20"/>
      <c r="G11" s="27"/>
      <c r="H11" s="28"/>
      <c r="I11" s="27"/>
      <c r="J11" s="28"/>
      <c r="K11" s="27"/>
      <c r="L11" s="20"/>
      <c r="M11" s="17"/>
    </row>
    <row r="12" spans="1:14" x14ac:dyDescent="0.3">
      <c r="A12" s="5"/>
      <c r="B12" s="21"/>
      <c r="C12">
        <v>15</v>
      </c>
      <c r="D12" s="21"/>
      <c r="E12">
        <f>C12*7</f>
        <v>105</v>
      </c>
      <c r="F12" s="21"/>
      <c r="G12" s="30" t="s">
        <v>73</v>
      </c>
      <c r="H12" s="31"/>
      <c r="I12" s="30" t="s">
        <v>73</v>
      </c>
      <c r="J12" s="31"/>
      <c r="K12" s="30" t="s">
        <v>74</v>
      </c>
      <c r="L12" s="21"/>
      <c r="M12" s="29" t="s">
        <v>79</v>
      </c>
    </row>
    <row r="13" spans="1:14" x14ac:dyDescent="0.3">
      <c r="A13" s="15" t="s">
        <v>80</v>
      </c>
      <c r="B13" s="20"/>
      <c r="C13" s="16"/>
      <c r="D13" s="20"/>
      <c r="E13" s="16"/>
      <c r="F13" s="20"/>
      <c r="G13" s="27"/>
      <c r="H13" s="28"/>
      <c r="I13" s="27"/>
      <c r="J13" s="28"/>
      <c r="K13" s="27"/>
      <c r="L13" s="20"/>
      <c r="M13" s="17"/>
      <c r="N13" t="s">
        <v>192</v>
      </c>
    </row>
    <row r="14" spans="1:14" x14ac:dyDescent="0.3">
      <c r="A14" s="5"/>
      <c r="B14" s="21"/>
      <c r="C14">
        <v>50</v>
      </c>
      <c r="D14" s="21"/>
      <c r="E14">
        <f>C14*7</f>
        <v>350</v>
      </c>
      <c r="F14" s="21"/>
      <c r="G14" s="30" t="s">
        <v>73</v>
      </c>
      <c r="H14" s="31"/>
      <c r="I14" s="30" t="s">
        <v>74</v>
      </c>
      <c r="J14" s="31"/>
      <c r="K14" s="30" t="s">
        <v>73</v>
      </c>
      <c r="L14" s="21"/>
      <c r="M14" s="29" t="s">
        <v>79</v>
      </c>
    </row>
    <row r="15" spans="1:14" x14ac:dyDescent="0.3">
      <c r="A15" s="15" t="s">
        <v>81</v>
      </c>
      <c r="B15" s="20"/>
      <c r="C15" s="16"/>
      <c r="D15" s="20"/>
      <c r="E15" s="16"/>
      <c r="F15" s="20"/>
      <c r="G15" s="27"/>
      <c r="H15" s="28"/>
      <c r="I15" s="27"/>
      <c r="J15" s="28"/>
      <c r="K15" s="27"/>
      <c r="L15" s="20"/>
      <c r="M15" s="17"/>
    </row>
    <row r="16" spans="1:14" x14ac:dyDescent="0.3">
      <c r="A16" s="5"/>
      <c r="B16" s="21"/>
      <c r="C16">
        <v>15</v>
      </c>
      <c r="D16" s="21"/>
      <c r="E16">
        <f>C16*8</f>
        <v>120</v>
      </c>
      <c r="F16" s="21"/>
      <c r="G16" s="30" t="s">
        <v>73</v>
      </c>
      <c r="H16" s="31"/>
      <c r="I16" s="30" t="s">
        <v>73</v>
      </c>
      <c r="J16" s="31"/>
      <c r="K16" s="30" t="s">
        <v>73</v>
      </c>
      <c r="L16" s="21"/>
      <c r="M16" s="29" t="s">
        <v>73</v>
      </c>
    </row>
    <row r="17" spans="1:14" x14ac:dyDescent="0.3">
      <c r="A17" s="15" t="s">
        <v>82</v>
      </c>
      <c r="B17" s="20"/>
      <c r="C17" s="16"/>
      <c r="D17" s="20"/>
      <c r="E17" s="16"/>
      <c r="F17" s="20"/>
      <c r="G17" s="27"/>
      <c r="H17" s="28"/>
      <c r="I17" s="27"/>
      <c r="J17" s="28"/>
      <c r="K17" s="27"/>
      <c r="L17" s="20"/>
      <c r="M17" s="17"/>
    </row>
    <row r="18" spans="1:14" x14ac:dyDescent="0.3">
      <c r="A18" s="37"/>
      <c r="B18" s="35"/>
      <c r="C18" s="36">
        <v>15</v>
      </c>
      <c r="D18" s="35"/>
      <c r="E18" s="36">
        <f>C18*8</f>
        <v>120</v>
      </c>
      <c r="F18" s="35"/>
      <c r="G18" s="34" t="s">
        <v>73</v>
      </c>
      <c r="H18" s="38"/>
      <c r="I18" s="34" t="s">
        <v>73</v>
      </c>
      <c r="J18" s="38"/>
      <c r="K18" s="34" t="s">
        <v>73</v>
      </c>
      <c r="L18" s="21"/>
      <c r="M18" s="29" t="s">
        <v>73</v>
      </c>
    </row>
    <row r="19" spans="1:14" x14ac:dyDescent="0.3">
      <c r="A19" s="5" t="s">
        <v>83</v>
      </c>
      <c r="B19" s="21"/>
      <c r="D19" s="21"/>
      <c r="F19" s="21"/>
      <c r="H19" s="21"/>
      <c r="J19" s="21"/>
      <c r="L19" s="20"/>
      <c r="M19" s="17"/>
    </row>
    <row r="20" spans="1:14" x14ac:dyDescent="0.3">
      <c r="A20" s="37"/>
      <c r="B20" s="35"/>
      <c r="C20" s="36">
        <v>20</v>
      </c>
      <c r="D20" s="35"/>
      <c r="E20" s="36">
        <f>C20*8</f>
        <v>160</v>
      </c>
      <c r="F20" s="35"/>
      <c r="G20" s="34" t="s">
        <v>73</v>
      </c>
      <c r="H20" s="35"/>
      <c r="I20" s="34" t="s">
        <v>73</v>
      </c>
      <c r="J20" s="35"/>
      <c r="K20" s="34" t="s">
        <v>74</v>
      </c>
      <c r="L20" s="21"/>
      <c r="M20" s="29" t="s">
        <v>74</v>
      </c>
    </row>
    <row r="21" spans="1:14" x14ac:dyDescent="0.3">
      <c r="A21" s="5" t="s">
        <v>84</v>
      </c>
      <c r="B21" s="21"/>
      <c r="D21" s="21"/>
      <c r="F21" s="21"/>
      <c r="H21" s="21"/>
      <c r="J21" s="21"/>
      <c r="L21" s="20"/>
      <c r="M21" s="17"/>
    </row>
    <row r="22" spans="1:14" x14ac:dyDescent="0.3">
      <c r="A22" s="5"/>
      <c r="B22" s="21"/>
      <c r="C22">
        <v>5</v>
      </c>
      <c r="D22" s="21"/>
      <c r="E22" s="33">
        <f>C22*8+5</f>
        <v>45</v>
      </c>
      <c r="F22" s="21"/>
      <c r="G22" s="30" t="s">
        <v>72</v>
      </c>
      <c r="H22" s="21"/>
      <c r="I22" s="30" t="s">
        <v>85</v>
      </c>
      <c r="J22" s="21"/>
      <c r="K22" s="30" t="s">
        <v>73</v>
      </c>
      <c r="L22" s="21"/>
      <c r="M22" s="29" t="s">
        <v>74</v>
      </c>
      <c r="N22" t="s">
        <v>191</v>
      </c>
    </row>
    <row r="23" spans="1:14" x14ac:dyDescent="0.3">
      <c r="A23" s="15" t="s">
        <v>86</v>
      </c>
      <c r="B23" s="20"/>
      <c r="C23" s="16"/>
      <c r="D23" s="20"/>
      <c r="E23" s="16"/>
      <c r="F23" s="20"/>
      <c r="G23" s="27"/>
      <c r="H23" s="28"/>
      <c r="I23" s="27"/>
      <c r="J23" s="28"/>
      <c r="K23" s="27"/>
      <c r="L23" s="20"/>
      <c r="M23" s="17"/>
    </row>
    <row r="24" spans="1:14" x14ac:dyDescent="0.3">
      <c r="A24" s="5"/>
      <c r="B24" s="21"/>
      <c r="C24" s="32">
        <v>6</v>
      </c>
      <c r="D24" s="21"/>
      <c r="E24" s="32">
        <f>C24*8</f>
        <v>48</v>
      </c>
      <c r="F24" s="21"/>
      <c r="G24" s="30" t="s">
        <v>72</v>
      </c>
      <c r="H24" s="31"/>
      <c r="I24" s="30" t="s">
        <v>74</v>
      </c>
      <c r="J24" s="31"/>
      <c r="K24" s="30" t="s">
        <v>73</v>
      </c>
      <c r="L24" s="21"/>
      <c r="M24" s="29" t="s">
        <v>74</v>
      </c>
    </row>
    <row r="25" spans="1:14" x14ac:dyDescent="0.3">
      <c r="A25" s="15" t="s">
        <v>87</v>
      </c>
      <c r="B25" s="20"/>
      <c r="C25" s="16"/>
      <c r="D25" s="20"/>
      <c r="E25" s="16"/>
      <c r="F25" s="20"/>
      <c r="G25" s="27"/>
      <c r="H25" s="28"/>
      <c r="I25" s="27"/>
      <c r="J25" s="28"/>
      <c r="K25" s="27"/>
      <c r="L25" s="20"/>
      <c r="M25" s="17"/>
    </row>
    <row r="26" spans="1:14" x14ac:dyDescent="0.3">
      <c r="A26" s="5"/>
      <c r="B26" s="21"/>
      <c r="C26" s="32">
        <v>7</v>
      </c>
      <c r="D26" s="21"/>
      <c r="E26" s="32">
        <f>C26*8</f>
        <v>56</v>
      </c>
      <c r="F26" s="21"/>
      <c r="G26" s="30" t="s">
        <v>72</v>
      </c>
      <c r="H26" s="31"/>
      <c r="I26" s="30" t="s">
        <v>74</v>
      </c>
      <c r="J26" s="31"/>
      <c r="K26" s="30" t="s">
        <v>74</v>
      </c>
      <c r="L26" s="21"/>
      <c r="M26" s="29" t="s">
        <v>74</v>
      </c>
    </row>
    <row r="27" spans="1:14" x14ac:dyDescent="0.3">
      <c r="A27" s="15" t="s">
        <v>88</v>
      </c>
      <c r="B27" s="20"/>
      <c r="C27" s="16"/>
      <c r="D27" s="20"/>
      <c r="E27" s="16"/>
      <c r="F27" s="20"/>
      <c r="G27" s="27"/>
      <c r="H27" s="28"/>
      <c r="I27" s="27"/>
      <c r="J27" s="28"/>
      <c r="K27" s="27"/>
      <c r="L27" s="20"/>
      <c r="M27" s="17"/>
    </row>
    <row r="28" spans="1:14" ht="14.55" thickBot="1" x14ac:dyDescent="0.35">
      <c r="A28" s="11"/>
      <c r="B28" s="22"/>
      <c r="C28" s="12">
        <v>30</v>
      </c>
      <c r="D28" s="22"/>
      <c r="E28" s="12">
        <f>C28*8</f>
        <v>240</v>
      </c>
      <c r="F28" s="22"/>
      <c r="G28" s="25" t="s">
        <v>73</v>
      </c>
      <c r="H28" s="26"/>
      <c r="I28" s="25" t="s">
        <v>74</v>
      </c>
      <c r="J28" s="26"/>
      <c r="K28" s="25" t="s">
        <v>74</v>
      </c>
      <c r="L28" s="22"/>
      <c r="M28" s="24" t="s">
        <v>74</v>
      </c>
    </row>
    <row r="29" spans="1:14" x14ac:dyDescent="0.3">
      <c r="A29" s="63" t="s">
        <v>184</v>
      </c>
      <c r="B29" s="39"/>
      <c r="C29" s="64"/>
      <c r="D29" s="39"/>
      <c r="E29" s="64"/>
      <c r="F29" s="39"/>
      <c r="G29" s="64"/>
      <c r="H29" s="39"/>
      <c r="I29" s="64"/>
      <c r="J29" s="39"/>
      <c r="K29" s="64"/>
      <c r="L29" s="39"/>
      <c r="M29" s="4"/>
    </row>
    <row r="30" spans="1:14" x14ac:dyDescent="0.3">
      <c r="A30" s="5"/>
      <c r="B30" s="21"/>
      <c r="D30" s="21"/>
      <c r="F30" s="21"/>
      <c r="H30" s="21"/>
      <c r="J30" s="21"/>
      <c r="L30" s="21"/>
      <c r="M30" s="6"/>
    </row>
    <row r="31" spans="1:14" x14ac:dyDescent="0.3">
      <c r="A31" s="37" t="s">
        <v>188</v>
      </c>
      <c r="B31" s="35"/>
      <c r="C31" s="36">
        <v>30</v>
      </c>
      <c r="D31" s="35"/>
      <c r="E31" s="36">
        <f>C31*6</f>
        <v>180</v>
      </c>
      <c r="F31" s="35"/>
      <c r="G31" s="36" t="s">
        <v>74</v>
      </c>
      <c r="H31" s="35"/>
      <c r="I31" s="36" t="s">
        <v>73</v>
      </c>
      <c r="J31" s="35"/>
      <c r="K31" s="36" t="s">
        <v>73</v>
      </c>
      <c r="L31" s="35"/>
      <c r="M31" s="62" t="s">
        <v>74</v>
      </c>
    </row>
    <row r="32" spans="1:14" x14ac:dyDescent="0.3">
      <c r="A32" s="5"/>
      <c r="B32" s="21"/>
      <c r="D32" s="21"/>
      <c r="F32" s="21"/>
      <c r="H32" s="21"/>
      <c r="J32" s="21"/>
      <c r="L32" s="21"/>
      <c r="M32" s="6"/>
    </row>
    <row r="33" spans="1:13" x14ac:dyDescent="0.3">
      <c r="A33" s="37" t="s">
        <v>186</v>
      </c>
      <c r="B33" s="35"/>
      <c r="C33" s="36">
        <v>100</v>
      </c>
      <c r="D33" s="35"/>
      <c r="E33" s="36">
        <f t="shared" ref="E33:E45" si="0">C33*6</f>
        <v>600</v>
      </c>
      <c r="F33" s="35"/>
      <c r="G33" s="36" t="s">
        <v>73</v>
      </c>
      <c r="H33" s="35"/>
      <c r="I33" s="36" t="s">
        <v>195</v>
      </c>
      <c r="J33" s="35"/>
      <c r="K33" s="36" t="s">
        <v>85</v>
      </c>
      <c r="L33" s="35"/>
      <c r="M33" s="62" t="s">
        <v>74</v>
      </c>
    </row>
    <row r="34" spans="1:13" x14ac:dyDescent="0.3">
      <c r="A34" s="5"/>
      <c r="B34" s="21"/>
      <c r="D34" s="21"/>
      <c r="F34" s="21"/>
      <c r="H34" s="21"/>
      <c r="J34" s="21"/>
      <c r="L34" s="21"/>
      <c r="M34" s="6"/>
    </row>
    <row r="35" spans="1:13" x14ac:dyDescent="0.3">
      <c r="A35" s="37" t="s">
        <v>185</v>
      </c>
      <c r="B35" s="35"/>
      <c r="C35" s="36">
        <v>100</v>
      </c>
      <c r="D35" s="35"/>
      <c r="E35" s="36">
        <f t="shared" si="0"/>
        <v>600</v>
      </c>
      <c r="F35" s="35"/>
      <c r="G35" s="36" t="s">
        <v>73</v>
      </c>
      <c r="H35" s="35"/>
      <c r="I35" s="36" t="s">
        <v>73</v>
      </c>
      <c r="J35" s="35"/>
      <c r="K35" s="36" t="s">
        <v>73</v>
      </c>
      <c r="L35" s="35"/>
      <c r="M35" s="62" t="s">
        <v>74</v>
      </c>
    </row>
    <row r="36" spans="1:13" x14ac:dyDescent="0.3">
      <c r="A36" s="5"/>
      <c r="B36" s="21"/>
      <c r="D36" s="21"/>
      <c r="F36" s="21"/>
      <c r="H36" s="21"/>
      <c r="J36" s="21"/>
      <c r="L36" s="21"/>
      <c r="M36" s="6"/>
    </row>
    <row r="37" spans="1:13" x14ac:dyDescent="0.3">
      <c r="A37" s="37" t="s">
        <v>187</v>
      </c>
      <c r="B37" s="35"/>
      <c r="C37" s="36">
        <v>10</v>
      </c>
      <c r="D37" s="35"/>
      <c r="E37" s="36">
        <f t="shared" si="0"/>
        <v>60</v>
      </c>
      <c r="F37" s="35"/>
      <c r="G37" s="36" t="s">
        <v>72</v>
      </c>
      <c r="H37" s="35"/>
      <c r="I37" s="36" t="s">
        <v>73</v>
      </c>
      <c r="J37" s="35"/>
      <c r="K37" s="36" t="s">
        <v>73</v>
      </c>
      <c r="L37" s="35"/>
      <c r="M37" s="62" t="s">
        <v>74</v>
      </c>
    </row>
    <row r="38" spans="1:13" x14ac:dyDescent="0.3">
      <c r="A38" s="5"/>
      <c r="B38" s="21"/>
      <c r="D38" s="21"/>
      <c r="F38" s="21"/>
      <c r="H38" s="21"/>
      <c r="J38" s="21"/>
      <c r="L38" s="21"/>
      <c r="M38" s="6"/>
    </row>
    <row r="39" spans="1:13" x14ac:dyDescent="0.3">
      <c r="A39" s="37" t="s">
        <v>189</v>
      </c>
      <c r="B39" s="35"/>
      <c r="C39" s="36">
        <v>15</v>
      </c>
      <c r="D39" s="35"/>
      <c r="E39" s="36">
        <f t="shared" si="0"/>
        <v>90</v>
      </c>
      <c r="F39" s="35"/>
      <c r="G39" s="36" t="s">
        <v>72</v>
      </c>
      <c r="H39" s="35"/>
      <c r="I39" s="36" t="s">
        <v>74</v>
      </c>
      <c r="J39" s="35"/>
      <c r="K39" s="36" t="s">
        <v>74</v>
      </c>
      <c r="L39" s="35"/>
      <c r="M39" s="62" t="s">
        <v>74</v>
      </c>
    </row>
    <row r="40" spans="1:13" x14ac:dyDescent="0.3">
      <c r="A40" s="5"/>
      <c r="B40" s="21"/>
      <c r="D40" s="21"/>
      <c r="F40" s="21"/>
      <c r="H40" s="21"/>
      <c r="J40" s="21"/>
      <c r="L40" s="21"/>
      <c r="M40" s="6"/>
    </row>
    <row r="41" spans="1:13" x14ac:dyDescent="0.3">
      <c r="A41" s="37" t="s">
        <v>190</v>
      </c>
      <c r="B41" s="35"/>
      <c r="C41" s="36">
        <v>66</v>
      </c>
      <c r="D41" s="35"/>
      <c r="E41" s="36">
        <f t="shared" si="0"/>
        <v>396</v>
      </c>
      <c r="F41" s="35"/>
      <c r="G41" s="36" t="s">
        <v>74</v>
      </c>
      <c r="H41" s="35"/>
      <c r="I41" s="36" t="s">
        <v>73</v>
      </c>
      <c r="J41" s="35"/>
      <c r="K41" s="36" t="s">
        <v>73</v>
      </c>
      <c r="L41" s="35"/>
      <c r="M41" s="62" t="s">
        <v>74</v>
      </c>
    </row>
    <row r="42" spans="1:13" x14ac:dyDescent="0.3">
      <c r="A42" s="5"/>
      <c r="B42" s="21"/>
      <c r="D42" s="21"/>
      <c r="F42" s="21"/>
      <c r="H42" s="21"/>
      <c r="J42" s="21"/>
      <c r="L42" s="21"/>
      <c r="M42" s="6"/>
    </row>
    <row r="43" spans="1:13" x14ac:dyDescent="0.3">
      <c r="A43" s="37" t="s">
        <v>193</v>
      </c>
      <c r="B43" s="35"/>
      <c r="C43" s="36">
        <v>20</v>
      </c>
      <c r="D43" s="35"/>
      <c r="E43" s="36">
        <f t="shared" si="0"/>
        <v>120</v>
      </c>
      <c r="F43" s="35"/>
      <c r="G43" s="36" t="s">
        <v>73</v>
      </c>
      <c r="H43" s="35"/>
      <c r="I43" s="36" t="s">
        <v>74</v>
      </c>
      <c r="J43" s="35"/>
      <c r="K43" s="36" t="s">
        <v>85</v>
      </c>
      <c r="L43" s="35"/>
      <c r="M43" s="62" t="s">
        <v>74</v>
      </c>
    </row>
    <row r="44" spans="1:13" x14ac:dyDescent="0.3">
      <c r="A44" s="5"/>
      <c r="B44" s="21"/>
      <c r="D44" s="21"/>
      <c r="F44" s="21"/>
      <c r="H44" s="21"/>
      <c r="J44" s="21"/>
      <c r="L44" s="21"/>
      <c r="M44" s="6"/>
    </row>
    <row r="45" spans="1:13" ht="14.55" thickBot="1" x14ac:dyDescent="0.35">
      <c r="A45" s="11" t="s">
        <v>194</v>
      </c>
      <c r="B45" s="22"/>
      <c r="C45" s="12">
        <v>15</v>
      </c>
      <c r="D45" s="22"/>
      <c r="E45" s="12">
        <f t="shared" si="0"/>
        <v>90</v>
      </c>
      <c r="F45" s="22"/>
      <c r="G45" s="12" t="s">
        <v>72</v>
      </c>
      <c r="H45" s="22"/>
      <c r="I45" s="12" t="s">
        <v>74</v>
      </c>
      <c r="J45" s="22"/>
      <c r="K45" s="12" t="s">
        <v>74</v>
      </c>
      <c r="L45" s="22"/>
      <c r="M45" s="40" t="s">
        <v>74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955B-6DF4-464A-8AAA-B6DEFA29A809}">
  <dimension ref="A1:M18"/>
  <sheetViews>
    <sheetView zoomScale="70" zoomScaleNormal="70" workbookViewId="0">
      <selection activeCell="P16" sqref="P16"/>
    </sheetView>
  </sheetViews>
  <sheetFormatPr defaultRowHeight="14" x14ac:dyDescent="0.3"/>
  <cols>
    <col min="1" max="1" width="9.3984375" customWidth="1"/>
    <col min="5" max="5" width="10.3984375" bestFit="1" customWidth="1"/>
    <col min="8" max="8" width="9.296875" bestFit="1" customWidth="1"/>
  </cols>
  <sheetData>
    <row r="1" spans="1:13" x14ac:dyDescent="0.3">
      <c r="A1" s="2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 x14ac:dyDescent="0.3">
      <c r="A2" s="5"/>
      <c r="M2" s="6"/>
    </row>
    <row r="3" spans="1:13" x14ac:dyDescent="0.3">
      <c r="A3" s="15" t="s">
        <v>41</v>
      </c>
      <c r="B3" s="20"/>
      <c r="C3" s="48"/>
      <c r="D3" s="20" t="s">
        <v>2</v>
      </c>
      <c r="E3" s="20" t="s">
        <v>3</v>
      </c>
      <c r="F3" s="20" t="s">
        <v>4</v>
      </c>
      <c r="G3" s="20" t="s">
        <v>5</v>
      </c>
      <c r="H3" s="20" t="s">
        <v>6</v>
      </c>
      <c r="I3" s="20" t="s">
        <v>7</v>
      </c>
      <c r="J3" s="20" t="s">
        <v>8</v>
      </c>
      <c r="K3" s="20" t="s">
        <v>9</v>
      </c>
      <c r="L3" s="20" t="s">
        <v>10</v>
      </c>
      <c r="M3" s="46" t="s">
        <v>11</v>
      </c>
    </row>
    <row r="4" spans="1:13" x14ac:dyDescent="0.3">
      <c r="A4" s="5"/>
      <c r="B4" s="20" t="s">
        <v>42</v>
      </c>
      <c r="C4" s="16"/>
      <c r="D4" s="20">
        <v>1</v>
      </c>
      <c r="E4" s="20">
        <v>1</v>
      </c>
      <c r="F4" s="20">
        <v>1</v>
      </c>
      <c r="G4" s="20">
        <v>2</v>
      </c>
      <c r="H4" s="20">
        <v>2</v>
      </c>
      <c r="I4" s="20">
        <v>2</v>
      </c>
      <c r="J4" s="20">
        <v>2</v>
      </c>
      <c r="K4" s="20">
        <v>3</v>
      </c>
      <c r="L4" s="20">
        <v>3</v>
      </c>
      <c r="M4" s="46">
        <v>3</v>
      </c>
    </row>
    <row r="5" spans="1:13" x14ac:dyDescent="0.3">
      <c r="A5" s="5"/>
      <c r="B5" s="21"/>
      <c r="D5" s="21"/>
      <c r="E5" s="21"/>
      <c r="F5" s="21"/>
      <c r="G5" s="21"/>
      <c r="H5" s="21"/>
      <c r="I5" s="21"/>
      <c r="J5" s="21"/>
      <c r="K5" s="21"/>
      <c r="L5" s="21"/>
      <c r="M5" s="45"/>
    </row>
    <row r="6" spans="1:13" x14ac:dyDescent="0.3">
      <c r="A6" s="5"/>
      <c r="B6" s="20" t="s">
        <v>43</v>
      </c>
      <c r="C6" s="16"/>
      <c r="D6" s="20">
        <v>10</v>
      </c>
      <c r="E6" s="20">
        <v>10</v>
      </c>
      <c r="F6" s="20">
        <v>20</v>
      </c>
      <c r="G6" s="20">
        <v>20</v>
      </c>
      <c r="H6" s="20">
        <v>30</v>
      </c>
      <c r="I6" s="20">
        <v>30</v>
      </c>
      <c r="J6" s="20"/>
      <c r="K6" s="16"/>
      <c r="L6" s="16"/>
      <c r="M6" s="17"/>
    </row>
    <row r="7" spans="1:13" x14ac:dyDescent="0.3">
      <c r="A7" s="5"/>
      <c r="B7" s="21"/>
      <c r="D7" s="21"/>
      <c r="E7" s="21"/>
      <c r="F7" s="21"/>
      <c r="G7" s="21"/>
      <c r="H7" s="21"/>
      <c r="I7" s="21"/>
      <c r="J7" s="21"/>
      <c r="M7" s="6"/>
    </row>
    <row r="8" spans="1:13" x14ac:dyDescent="0.3">
      <c r="A8" s="5"/>
      <c r="B8" s="20" t="s">
        <v>44</v>
      </c>
      <c r="C8" s="16"/>
      <c r="D8" s="20">
        <v>100</v>
      </c>
      <c r="E8" s="20"/>
      <c r="F8" s="16"/>
      <c r="G8" s="16"/>
      <c r="H8" s="16"/>
      <c r="I8" s="20"/>
      <c r="M8" s="6"/>
    </row>
    <row r="9" spans="1:13" x14ac:dyDescent="0.3">
      <c r="A9" s="5"/>
      <c r="B9" s="21"/>
      <c r="D9" s="21"/>
      <c r="E9" s="21"/>
      <c r="H9" s="47"/>
      <c r="I9" s="21"/>
      <c r="M9" s="6"/>
    </row>
    <row r="10" spans="1:13" x14ac:dyDescent="0.3">
      <c r="A10" s="15" t="s">
        <v>45</v>
      </c>
      <c r="B10" s="20"/>
      <c r="C10" s="42"/>
      <c r="D10" s="42"/>
      <c r="E10" s="36"/>
      <c r="F10" s="36"/>
      <c r="G10" s="36"/>
      <c r="I10" s="21"/>
      <c r="M10" s="6"/>
    </row>
    <row r="11" spans="1:13" x14ac:dyDescent="0.3">
      <c r="A11" s="5"/>
      <c r="B11" s="20" t="s">
        <v>46</v>
      </c>
      <c r="C11" s="16"/>
      <c r="D11" s="20">
        <v>100</v>
      </c>
      <c r="E11" s="20">
        <v>100</v>
      </c>
      <c r="F11" s="20">
        <v>200</v>
      </c>
      <c r="G11" s="20">
        <v>200</v>
      </c>
      <c r="H11" s="20">
        <v>300</v>
      </c>
      <c r="I11" s="20">
        <v>300</v>
      </c>
      <c r="J11" s="35"/>
      <c r="M11" s="6"/>
    </row>
    <row r="12" spans="1:13" x14ac:dyDescent="0.3">
      <c r="A12" s="5"/>
      <c r="B12" s="20"/>
      <c r="C12" s="16"/>
      <c r="D12" s="20" t="s">
        <v>47</v>
      </c>
      <c r="E12" s="20" t="s">
        <v>48</v>
      </c>
      <c r="F12" s="20" t="s">
        <v>49</v>
      </c>
      <c r="G12" s="20" t="s">
        <v>50</v>
      </c>
      <c r="H12" s="20" t="s">
        <v>51</v>
      </c>
      <c r="I12" s="20" t="s">
        <v>52</v>
      </c>
      <c r="J12" s="20" t="s">
        <v>53</v>
      </c>
      <c r="K12" s="21"/>
      <c r="M12" s="6"/>
    </row>
    <row r="13" spans="1:13" x14ac:dyDescent="0.3">
      <c r="A13" s="5"/>
      <c r="B13" s="20" t="s">
        <v>54</v>
      </c>
      <c r="C13" s="16"/>
      <c r="D13" s="20">
        <v>10</v>
      </c>
      <c r="E13" s="20">
        <v>10</v>
      </c>
      <c r="F13" s="20">
        <v>20</v>
      </c>
      <c r="G13" s="20">
        <v>20</v>
      </c>
      <c r="H13" s="20">
        <v>20</v>
      </c>
      <c r="I13" s="20">
        <v>30</v>
      </c>
      <c r="J13" s="20">
        <v>30</v>
      </c>
      <c r="K13" s="21"/>
      <c r="M13" s="6"/>
    </row>
    <row r="14" spans="1:13" x14ac:dyDescent="0.3">
      <c r="A14" s="5"/>
      <c r="B14" s="21"/>
      <c r="D14" s="21"/>
      <c r="E14" s="21"/>
      <c r="F14" s="21"/>
      <c r="G14" s="21"/>
      <c r="H14" s="21"/>
      <c r="I14" s="21"/>
      <c r="J14" s="21"/>
      <c r="K14" s="21"/>
      <c r="M14" s="6"/>
    </row>
    <row r="15" spans="1:13" x14ac:dyDescent="0.3">
      <c r="A15" s="5"/>
      <c r="B15" s="20" t="s">
        <v>55</v>
      </c>
      <c r="C15" s="16"/>
      <c r="D15" s="20">
        <v>500</v>
      </c>
      <c r="E15" s="20"/>
      <c r="F15" s="16"/>
      <c r="G15" s="16"/>
      <c r="H15" s="16"/>
      <c r="I15" s="16"/>
      <c r="J15" s="16"/>
      <c r="M15" s="6"/>
    </row>
    <row r="16" spans="1:13" x14ac:dyDescent="0.3">
      <c r="A16" s="5"/>
      <c r="B16" s="21"/>
      <c r="D16" s="21"/>
      <c r="E16" s="35"/>
      <c r="F16" s="36"/>
      <c r="M16" s="6"/>
    </row>
    <row r="17" spans="1:13" x14ac:dyDescent="0.3">
      <c r="A17" s="15" t="s">
        <v>56</v>
      </c>
      <c r="B17" s="20"/>
      <c r="C17" s="16"/>
      <c r="D17" s="20"/>
      <c r="E17" s="16"/>
      <c r="F17" s="16"/>
      <c r="G17" s="21"/>
      <c r="M17" s="6"/>
    </row>
    <row r="18" spans="1:13" ht="14.55" thickBot="1" x14ac:dyDescent="0.35">
      <c r="A18" s="11"/>
      <c r="B18" s="22" t="s">
        <v>57</v>
      </c>
      <c r="C18" s="12"/>
      <c r="D18" s="22">
        <v>50</v>
      </c>
      <c r="E18" s="12" t="s">
        <v>58</v>
      </c>
      <c r="F18" s="12"/>
      <c r="G18" s="22"/>
      <c r="H18" s="12"/>
      <c r="I18" s="12"/>
      <c r="J18" s="12"/>
      <c r="K18" s="12"/>
      <c r="L18" s="12"/>
      <c r="M18" s="4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BBFD-8085-4331-B009-604318A661E8}">
  <dimension ref="A3:B15"/>
  <sheetViews>
    <sheetView zoomScale="205" zoomScaleNormal="205" workbookViewId="0">
      <selection activeCell="B15" sqref="B15"/>
    </sheetView>
  </sheetViews>
  <sheetFormatPr defaultRowHeight="14" x14ac:dyDescent="0.3"/>
  <cols>
    <col min="1" max="1" width="13.59765625" bestFit="1" customWidth="1"/>
  </cols>
  <sheetData>
    <row r="3" spans="1:2" x14ac:dyDescent="0.3">
      <c r="A3" t="s">
        <v>12</v>
      </c>
      <c r="B3">
        <v>9</v>
      </c>
    </row>
    <row r="5" spans="1:2" x14ac:dyDescent="0.3">
      <c r="A5" t="s">
        <v>15</v>
      </c>
      <c r="B5">
        <v>7</v>
      </c>
    </row>
    <row r="7" spans="1:2" x14ac:dyDescent="0.3">
      <c r="A7" t="s">
        <v>22</v>
      </c>
      <c r="B7">
        <v>6</v>
      </c>
    </row>
    <row r="9" spans="1:2" x14ac:dyDescent="0.3">
      <c r="A9" t="s">
        <v>32</v>
      </c>
      <c r="B9">
        <v>6</v>
      </c>
    </row>
    <row r="11" spans="1:2" x14ac:dyDescent="0.3">
      <c r="A11" t="s">
        <v>164</v>
      </c>
      <c r="B11">
        <v>45</v>
      </c>
    </row>
    <row r="13" spans="1:2" x14ac:dyDescent="0.3">
      <c r="A13" t="s">
        <v>165</v>
      </c>
      <c r="B13">
        <v>30</v>
      </c>
    </row>
    <row r="15" spans="1:2" x14ac:dyDescent="0.3">
      <c r="A15" t="s">
        <v>28</v>
      </c>
      <c r="B15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DBD701A9EB3C4EB596FDD6812FC862" ma:contentTypeVersion="5" ma:contentTypeDescription="Create a new document." ma:contentTypeScope="" ma:versionID="04c351f63c21210cac28e594f5681e37">
  <xsd:schema xmlns:xsd="http://www.w3.org/2001/XMLSchema" xmlns:xs="http://www.w3.org/2001/XMLSchema" xmlns:p="http://schemas.microsoft.com/office/2006/metadata/properties" xmlns:ns3="55c81947-97f4-4731-b011-7ae725ade22a" targetNamespace="http://schemas.microsoft.com/office/2006/metadata/properties" ma:root="true" ma:fieldsID="edb9fb15d912077350988e530abe7f7a" ns3:_="">
    <xsd:import namespace="55c81947-97f4-4731-b011-7ae725ade22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81947-97f4-4731-b011-7ae725ade22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c81947-97f4-4731-b011-7ae725ade22a" xsi:nil="true"/>
  </documentManagement>
</p:properties>
</file>

<file path=customXml/itemProps1.xml><?xml version="1.0" encoding="utf-8"?>
<ds:datastoreItem xmlns:ds="http://schemas.openxmlformats.org/officeDocument/2006/customXml" ds:itemID="{86B58985-B763-4093-B4C2-5DB4D536A1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C7BB17-8748-4780-B8EF-03CDEC769B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c81947-97f4-4731-b011-7ae725ade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BFE3E6-EAF6-4838-8B0E-C2481B8AFF60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55c81947-97f4-4731-b011-7ae725ade22a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Gear Stats</vt:lpstr>
      <vt:lpstr>Drop Chances</vt:lpstr>
      <vt:lpstr>Level Up Xp</vt:lpstr>
      <vt:lpstr>Cape Stats</vt:lpstr>
      <vt:lpstr>Damage</vt:lpstr>
      <vt:lpstr>Health Calulator </vt:lpstr>
      <vt:lpstr>Masteries</vt:lpstr>
      <vt:lpstr>Substats</vt:lpstr>
      <vt:lpstr>Clan War Points</vt:lpstr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Timothy Carruth</dc:creator>
  <cp:keywords/>
  <dc:description/>
  <cp:lastModifiedBy>Just Flame</cp:lastModifiedBy>
  <cp:revision/>
  <dcterms:created xsi:type="dcterms:W3CDTF">2026-07-07T21:20:19Z</dcterms:created>
  <dcterms:modified xsi:type="dcterms:W3CDTF">2026-09-07T16:22:24Z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0x01010004DBD701A9EB3C4EB596FDD6812FC862</vt:lpwstr>
  </property>
</Properties>
</file>