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<sst xmlns="http://schemas.openxmlformats.org/spreadsheetml/2006/main" count="171" uniqueCount="111">
  <si>
    <t>Base health and Damage</t>
  </si>
  <si>
    <t>Tier</t>
  </si>
  <si>
    <t>Item Level</t>
  </si>
  <si>
    <t>Enchantment</t>
  </si>
  <si>
    <t>Item Stat Tier Scaler</t>
  </si>
  <si>
    <t>Item Stat Level Scaler</t>
  </si>
  <si>
    <t>Stats</t>
  </si>
  <si>
    <t>Stats rounded</t>
  </si>
  <si>
    <t>Stats + Enchant</t>
  </si>
  <si>
    <t>Weapon</t>
  </si>
  <si>
    <t>Crit Dmg</t>
  </si>
  <si>
    <t>Level</t>
  </si>
  <si>
    <t>Rarity</t>
  </si>
  <si>
    <t>Gear</t>
  </si>
  <si>
    <t>Stat type</t>
  </si>
  <si>
    <t>Stat</t>
  </si>
  <si>
    <t>Enchantment level</t>
  </si>
  <si>
    <t>Ench only</t>
  </si>
  <si>
    <t>Stat+Ench</t>
  </si>
  <si>
    <t>Crit Defence</t>
  </si>
  <si>
    <t>Crit Multi</t>
  </si>
  <si>
    <t>Range</t>
  </si>
  <si>
    <t>Divine</t>
  </si>
  <si>
    <t>Stats with Enchantment</t>
  </si>
  <si>
    <t>Weapon DMG</t>
  </si>
  <si>
    <t>Ranged weapon</t>
  </si>
  <si>
    <t>Damage</t>
  </si>
  <si>
    <t>Crit Multi Eff</t>
  </si>
  <si>
    <t>Gloves DMG</t>
  </si>
  <si>
    <t>Ring DMG</t>
  </si>
  <si>
    <t>Helmet Health</t>
  </si>
  <si>
    <t>Gloves</t>
  </si>
  <si>
    <t>Backpack Health</t>
  </si>
  <si>
    <t>Necklace Health</t>
  </si>
  <si>
    <t>Ring</t>
  </si>
  <si>
    <t>Wing DMG</t>
  </si>
  <si>
    <t>Wing HP</t>
  </si>
  <si>
    <t>Helmet</t>
  </si>
  <si>
    <t>Total DMG</t>
  </si>
  <si>
    <t>Total HP</t>
  </si>
  <si>
    <t>Backpack</t>
  </si>
  <si>
    <t>Necklace</t>
  </si>
  <si>
    <t>Health</t>
  </si>
  <si>
    <t>&lt;- Tier Value depending on D2</t>
  </si>
  <si>
    <t>&lt;- Tier Value depending on D3</t>
  </si>
  <si>
    <t>Total Health</t>
  </si>
  <si>
    <t>Back</t>
  </si>
  <si>
    <t>&lt;- Tier Value depending on D4</t>
  </si>
  <si>
    <t>&lt;- Tier Value depending on D5</t>
  </si>
  <si>
    <t>&lt;- Tier Value depending on D6</t>
  </si>
  <si>
    <t>&lt;- Tier Value depending on D7</t>
  </si>
  <si>
    <t>&lt;- Tier Value depending on D8</t>
  </si>
  <si>
    <t>&lt;- Tier Value depending on D9</t>
  </si>
  <si>
    <t>Wings</t>
  </si>
  <si>
    <t>Epic</t>
  </si>
  <si>
    <t>Cloak/Cape</t>
  </si>
  <si>
    <t>% booster</t>
  </si>
  <si>
    <t>Assume Ranged</t>
  </si>
  <si>
    <t>total separate</t>
  </si>
  <si>
    <t>Pets</t>
  </si>
  <si>
    <t>multipliers</t>
  </si>
  <si>
    <t>Icon</t>
  </si>
  <si>
    <t>Name</t>
  </si>
  <si>
    <t>Common</t>
  </si>
  <si>
    <t>Monkey</t>
  </si>
  <si>
    <t>Ember Fist</t>
  </si>
  <si>
    <t>% multipliers</t>
  </si>
  <si>
    <t>Sheep</t>
  </si>
  <si>
    <t>Magic Wool</t>
  </si>
  <si>
    <t>Mouse</t>
  </si>
  <si>
    <t>Spark Mouse</t>
  </si>
  <si>
    <t>actual values</t>
  </si>
  <si>
    <t>% fault</t>
  </si>
  <si>
    <t>Uncommon</t>
  </si>
  <si>
    <t>Red bird</t>
  </si>
  <si>
    <t>Flame Wing</t>
  </si>
  <si>
    <t>Dmg</t>
  </si>
  <si>
    <t>Deer</t>
  </si>
  <si>
    <t>Life Horn</t>
  </si>
  <si>
    <t>Melee</t>
  </si>
  <si>
    <t>Snow Fox</t>
  </si>
  <si>
    <t>Snow Fang</t>
  </si>
  <si>
    <t>Cloak</t>
  </si>
  <si>
    <t>Rare</t>
  </si>
  <si>
    <t>Fire Fox</t>
  </si>
  <si>
    <t>Blaze Trail</t>
  </si>
  <si>
    <t>Polar Bear</t>
  </si>
  <si>
    <t>Frost Claw</t>
  </si>
  <si>
    <t>Yellow cat horns</t>
  </si>
  <si>
    <t>Storm Eye</t>
  </si>
  <si>
    <t>3 eye purple</t>
  </si>
  <si>
    <t>Arcane Paw</t>
  </si>
  <si>
    <t>Yeti</t>
  </si>
  <si>
    <t>Glacier fist</t>
  </si>
  <si>
    <t>Green insect</t>
  </si>
  <si>
    <t>Vital Root</t>
  </si>
  <si>
    <t>Legendary</t>
  </si>
  <si>
    <t>Bat</t>
  </si>
  <si>
    <t>Echo Wing</t>
  </si>
  <si>
    <t>Green elemental</t>
  </si>
  <si>
    <t>Phanton Gaze</t>
  </si>
  <si>
    <t>Phoenix</t>
  </si>
  <si>
    <t>Star Feather</t>
  </si>
  <si>
    <t>Mythic</t>
  </si>
  <si>
    <t>Alien</t>
  </si>
  <si>
    <t>Celestial Mind</t>
  </si>
  <si>
    <t xml:space="preserve">Rabbit </t>
  </si>
  <si>
    <t>Halo Hare</t>
  </si>
  <si>
    <t>Dragon</t>
  </si>
  <si>
    <t>Radiant Talon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</si>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</sst>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);[Red](#,##0)"/>
    <numFmt numFmtId="165" formatCode="#,##0.0"/>
    <numFmt numFmtId="166" formatCode="0.000%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4.0"/>
      <color theme="1"/>
      <name val="Calibri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CE8B2"/>
        <bgColor rgb="FFFCE8B2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horizontal="right" vertical="bottom"/>
    </xf>
    <xf borderId="1" fillId="0" fontId="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right" vertical="bottom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Font="1"/>
    <xf borderId="0" fillId="0" fontId="3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2" fillId="0" fontId="3" numFmtId="164" xfId="0" applyAlignment="1" applyBorder="1" applyFont="1" applyNumberFormat="1">
      <alignment horizontal="center" vertical="center"/>
    </xf>
    <xf borderId="0" fillId="3" fontId="4" numFmtId="0" xfId="0" applyAlignment="1" applyFill="1" applyFont="1">
      <alignment horizontal="right" vertical="bottom"/>
    </xf>
    <xf borderId="0" fillId="0" fontId="1" numFmtId="3" xfId="0" applyAlignment="1" applyFont="1" applyNumberFormat="1">
      <alignment vertical="bottom"/>
    </xf>
    <xf borderId="0" fillId="0" fontId="1" numFmtId="3" xfId="0" applyAlignment="1" applyFont="1" applyNumberFormat="1">
      <alignment horizontal="right" vertical="bottom"/>
    </xf>
    <xf borderId="0" fillId="2" fontId="1" numFmtId="0" xfId="0" applyAlignment="1" applyFill="1" applyFont="1">
      <alignment horizontal="right" readingOrder="0" vertical="bottom"/>
    </xf>
    <xf borderId="0" fillId="4" fontId="1" numFmtId="165" xfId="0" applyAlignment="1" applyFill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1" numFmtId="3" xfId="0" applyAlignment="1" applyFill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2" fontId="1" numFmtId="165" xfId="0" applyAlignment="1" applyFill="1" applyFont="1" applyNumberFormat="1">
      <alignment horizontal="right" vertical="bottom"/>
    </xf>
    <xf borderId="0" fillId="3" fontId="1" numFmtId="0" xfId="0" applyAlignment="1" applyFill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Sheet2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F1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3.5"/>
    <col customWidth="1" min="3" max="3" width="5.63"/>
    <col customWidth="1" min="4" max="4" width="8.63"/>
    <col customWidth="1" min="5" max="5" width="10.88"/>
    <col customWidth="1" min="6" max="6" width="16.13"/>
    <col customWidth="1" min="7" max="7" width="17.25"/>
    <col customWidth="1" min="8" max="8" width="10.75"/>
    <col customWidth="1" min="9" max="9" width="11.38"/>
    <col customWidth="1" min="10" max="10" width="12.75"/>
  </cols>
  <sheetData>
    <row r="1">
      <c r="A1" s="1"/>
      <c r="B1" s="1"/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3" t="s">
        <v>8</v>
      </c>
    </row>
    <row r="2">
      <c r="A2" s="3" t="s">
        <v>9</v>
      </c>
      <c r="B2" s="6">
        <f>IF(Sheet2!A1="Range",7,9)</f>
        <v>7</v>
      </c>
      <c r="C2" s="3" t="str">
        <f>Sheet2!B2</f>
        <v>Divine</v>
      </c>
      <c r="D2" s="3">
        <f>Sheet2!C2</f>
        <v>128</v>
      </c>
      <c r="E2" s="3">
        <f>Sheet2!D2</f>
        <v>9</v>
      </c>
      <c r="F2" s="6">
        <f>SQRT(10)</f>
        <v>3.16227766</v>
      </c>
      <c r="G2" s="6">
        <v>0.015</v>
      </c>
      <c r="H2" s="10">
        <f>B2*(F2^A11)*(1+G2*D2)</f>
        <v>646369.5537</v>
      </c>
      <c r="I2" s="6">
        <f t="shared" ref="I2:I9" si="1">ROUND(H2, 2-INT(LOG10(ABS(H2))))</f>
        <v>646000</v>
      </c>
      <c r="J2" s="10">
        <f t="shared" ref="J2:J9" si="2">ROUND(I2+(I2*E2^2/100), 3-INT(LOG10(ABS(I2+(I2*E2^2/100)))))</f>
        <v>1169000</v>
      </c>
    </row>
    <row r="3">
      <c r="A3" s="1" t="s">
        <v>31</v>
      </c>
      <c r="B3" s="6">
        <v>6.0</v>
      </c>
      <c r="C3" s="3" t="str">
        <f>Sheet2!B3</f>
        <v>Divine</v>
      </c>
      <c r="D3" s="3">
        <f>Sheet2!C3</f>
        <v>127</v>
      </c>
      <c r="E3" s="3">
        <f>Sheet2!D3</f>
        <v>8</v>
      </c>
      <c r="F3" s="1"/>
      <c r="G3" s="1"/>
      <c r="H3" s="10">
        <f>B3*(F2^A12)*(1+G2*D3)</f>
        <v>551184.9962</v>
      </c>
      <c r="I3" s="6">
        <f t="shared" si="1"/>
        <v>551000</v>
      </c>
      <c r="J3" s="10">
        <f t="shared" si="2"/>
        <v>903600</v>
      </c>
    </row>
    <row r="4">
      <c r="A4" s="1" t="s">
        <v>34</v>
      </c>
      <c r="B4" s="6">
        <v>6.0</v>
      </c>
      <c r="C4" s="3" t="str">
        <f>Sheet2!B4</f>
        <v>Divine</v>
      </c>
      <c r="D4" s="3">
        <f>Sheet2!C4</f>
        <v>130</v>
      </c>
      <c r="E4" s="3">
        <f>Sheet2!D4</f>
        <v>8</v>
      </c>
      <c r="F4" s="1"/>
      <c r="G4" s="1"/>
      <c r="H4" s="10">
        <f>B4*(F2^A13)*(1+G2*D4)</f>
        <v>559723.1458</v>
      </c>
      <c r="I4" s="6">
        <f t="shared" si="1"/>
        <v>560000</v>
      </c>
      <c r="J4" s="10">
        <f t="shared" si="2"/>
        <v>918400</v>
      </c>
    </row>
    <row r="5">
      <c r="A5" s="1" t="s">
        <v>37</v>
      </c>
      <c r="B5" s="6">
        <v>45.0</v>
      </c>
      <c r="C5" s="3" t="str">
        <f>Sheet2!B5</f>
        <v>Divine</v>
      </c>
      <c r="D5" s="3">
        <f>Sheet2!C5</f>
        <v>130</v>
      </c>
      <c r="E5" s="3">
        <f>Sheet2!D5</f>
        <v>8</v>
      </c>
      <c r="F5" s="1"/>
      <c r="G5" s="1"/>
      <c r="H5" s="10">
        <f>B5*(F2^A14)*(1+G2*D5)</f>
        <v>4197923.594</v>
      </c>
      <c r="I5" s="6">
        <f t="shared" si="1"/>
        <v>4200000</v>
      </c>
      <c r="J5" s="10">
        <f t="shared" si="2"/>
        <v>6888000</v>
      </c>
    </row>
    <row r="6">
      <c r="A6" s="1" t="s">
        <v>40</v>
      </c>
      <c r="B6" s="6">
        <v>30.0</v>
      </c>
      <c r="C6" s="3" t="str">
        <f>Sheet2!B6</f>
        <v>Divine</v>
      </c>
      <c r="D6" s="3">
        <f>Sheet2!C6</f>
        <v>130</v>
      </c>
      <c r="E6" s="3">
        <f>Sheet2!D6</f>
        <v>8</v>
      </c>
      <c r="F6" s="1"/>
      <c r="G6" s="1"/>
      <c r="H6" s="10">
        <f>B6*(F2^A15)*(1+G2*D6)</f>
        <v>2798615.729</v>
      </c>
      <c r="I6" s="6">
        <f t="shared" si="1"/>
        <v>2800000</v>
      </c>
      <c r="J6" s="10">
        <f t="shared" si="2"/>
        <v>4592000</v>
      </c>
    </row>
    <row r="7">
      <c r="A7" s="1" t="s">
        <v>41</v>
      </c>
      <c r="B7" s="6">
        <v>20.0</v>
      </c>
      <c r="C7" s="3" t="str">
        <f>Sheet2!B7</f>
        <v>Divine</v>
      </c>
      <c r="D7" s="3">
        <f>Sheet2!C7</f>
        <v>130</v>
      </c>
      <c r="E7" s="3">
        <f>Sheet2!D7</f>
        <v>8</v>
      </c>
      <c r="F7" s="1"/>
      <c r="G7" s="1"/>
      <c r="H7" s="10">
        <f>B7*(F2^A16)*(1+G2*D7)</f>
        <v>1865743.819</v>
      </c>
      <c r="I7" s="6">
        <f t="shared" si="1"/>
        <v>1870000</v>
      </c>
      <c r="J7" s="10">
        <f t="shared" si="2"/>
        <v>3067000</v>
      </c>
    </row>
    <row r="8">
      <c r="A8" s="1" t="s">
        <v>35</v>
      </c>
      <c r="B8" s="6">
        <v>9.0</v>
      </c>
      <c r="C8" s="3" t="str">
        <f>Sheet2!B8</f>
        <v>Divine</v>
      </c>
      <c r="D8" s="3">
        <f>Sheet2!C8</f>
        <v>100</v>
      </c>
      <c r="E8" s="3">
        <f>Sheet2!D8</f>
        <v>10</v>
      </c>
      <c r="F8" s="1"/>
      <c r="G8" s="1"/>
      <c r="H8" s="10">
        <f>B8*(F2^A17)*(1+G2*(IF(D8&gt;100,100,D8)))</f>
        <v>2250000</v>
      </c>
      <c r="I8" s="6">
        <f t="shared" si="1"/>
        <v>2250000</v>
      </c>
      <c r="J8" s="10">
        <f t="shared" si="2"/>
        <v>4500000</v>
      </c>
    </row>
    <row r="9">
      <c r="A9" s="1" t="s">
        <v>36</v>
      </c>
      <c r="B9" s="6">
        <v>30.0</v>
      </c>
      <c r="C9" s="3" t="str">
        <f>Sheet2!B9</f>
        <v>Divine</v>
      </c>
      <c r="D9" s="3">
        <f>Sheet2!C9</f>
        <v>100</v>
      </c>
      <c r="E9" s="3">
        <f>Sheet2!D9</f>
        <v>10</v>
      </c>
      <c r="F9" s="1"/>
      <c r="G9" s="1"/>
      <c r="H9" s="10">
        <f>B9*(F2^A18)*(1+G2*(IF(D9&gt;100,100,D9)))</f>
        <v>7500000</v>
      </c>
      <c r="I9" s="6">
        <f t="shared" si="1"/>
        <v>7500000</v>
      </c>
      <c r="J9" s="10">
        <f t="shared" si="2"/>
        <v>15000000</v>
      </c>
    </row>
    <row r="10">
      <c r="A10" s="1"/>
      <c r="B10" s="1"/>
      <c r="C10" s="1"/>
      <c r="D10" s="1"/>
      <c r="E10" s="1"/>
      <c r="F10" s="1"/>
      <c r="G10" s="1"/>
      <c r="I10" s="1"/>
      <c r="J10" s="1"/>
    </row>
    <row r="11">
      <c r="A11" s="6">
        <f t="shared" ref="A11:A16" si="4">SWITCH(C2, "Divine", 9, "Immortal", 8, "Ancient", 7, "Artifact", 6, "Mythic", 5, "Legendary", 4, "Epic", 3, "Rare", 2, "Uncommon", 1, "Common", 0)</f>
        <v>9</v>
      </c>
      <c r="B11" s="3" t="s">
        <v>43</v>
      </c>
      <c r="C11" s="1"/>
      <c r="D11" s="1"/>
      <c r="E11" s="1"/>
      <c r="F11" s="1"/>
      <c r="G11" s="1" t="s">
        <v>38</v>
      </c>
      <c r="I11" s="6">
        <f t="shared" ref="I11:J11" si="3">ROUND(I2+I3+I4+I8, 3-INT(LOG10(ABS(I2+I3+I4+I8))))</f>
        <v>4007000</v>
      </c>
      <c r="J11" s="6">
        <f t="shared" si="3"/>
        <v>7491000</v>
      </c>
    </row>
    <row r="12">
      <c r="A12" s="6">
        <f t="shared" si="4"/>
        <v>9</v>
      </c>
      <c r="B12" s="3" t="s">
        <v>44</v>
      </c>
      <c r="G12" s="1" t="s">
        <v>45</v>
      </c>
      <c r="I12" s="6">
        <f>ROUND(I6+I7+I8+I10, 3-INT(LOG10(ABS(I3+I4+I5+I9))))</f>
        <v>6920000</v>
      </c>
      <c r="J12" s="6">
        <f>ROUND(J6+J7+J8+J9, 3-INT(LOG10(ABS(J3+J4+J5+J9))))</f>
        <v>27160000</v>
      </c>
    </row>
    <row r="13">
      <c r="A13" s="6">
        <f t="shared" si="4"/>
        <v>9</v>
      </c>
      <c r="B13" s="3" t="s">
        <v>47</v>
      </c>
    </row>
    <row r="14">
      <c r="A14" s="6">
        <f t="shared" si="4"/>
        <v>9</v>
      </c>
      <c r="B14" s="3" t="s">
        <v>48</v>
      </c>
    </row>
    <row r="15">
      <c r="A15" s="6">
        <f t="shared" si="4"/>
        <v>9</v>
      </c>
      <c r="B15" s="3" t="s">
        <v>49</v>
      </c>
    </row>
    <row r="16">
      <c r="A16" s="6">
        <f t="shared" si="4"/>
        <v>9</v>
      </c>
      <c r="B16" s="3" t="s">
        <v>50</v>
      </c>
    </row>
    <row r="17">
      <c r="A17" s="6">
        <f t="shared" ref="A17:A18" si="5">SWITCH(C8, "Divine", 10, "Immortal", 9, "Ancient", 8, "Artifact", 7, "Mythic", 6, "Legendary", 5, "Epic", 4, "Rare", 3, "Uncommon", 2, "Common", 1)</f>
        <v>10</v>
      </c>
      <c r="B17" s="3" t="s">
        <v>51</v>
      </c>
    </row>
    <row r="18">
      <c r="A18" s="6">
        <f t="shared" si="5"/>
        <v>10</v>
      </c>
      <c r="B18" s="3" t="s">
        <v>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63"/>
    <col customWidth="1" min="2" max="2" width="12.38"/>
    <col customWidth="1" min="3" max="3" width="17.5"/>
    <col customWidth="1" min="4" max="5" width="13.75"/>
    <col customWidth="1" min="6" max="6" width="23.63"/>
  </cols>
  <sheetData>
    <row r="1" ht="26.25" customHeight="1">
      <c r="A1" s="5" t="s">
        <v>21</v>
      </c>
      <c r="B1" s="7" t="s">
        <v>1</v>
      </c>
      <c r="C1" s="5" t="s">
        <v>2</v>
      </c>
      <c r="D1" s="8" t="s">
        <v>3</v>
      </c>
      <c r="E1" s="8" t="s">
        <v>6</v>
      </c>
      <c r="F1" s="8" t="s">
        <v>23</v>
      </c>
    </row>
    <row r="2" ht="26.25" customHeight="1">
      <c r="A2" s="9" t="s">
        <v>24</v>
      </c>
      <c r="B2" s="9" t="s">
        <v>22</v>
      </c>
      <c r="C2" s="9">
        <v>128.0</v>
      </c>
      <c r="D2" s="9">
        <v>9.0</v>
      </c>
      <c r="E2" s="11">
        <f>Sheet1!I2</f>
        <v>646000</v>
      </c>
      <c r="F2" s="11">
        <f>Sheet1!J2</f>
        <v>1169000</v>
      </c>
    </row>
    <row r="3" ht="26.25" customHeight="1">
      <c r="A3" s="9" t="s">
        <v>28</v>
      </c>
      <c r="B3" s="9" t="s">
        <v>22</v>
      </c>
      <c r="C3" s="9">
        <v>127.0</v>
      </c>
      <c r="D3" s="9">
        <v>8.0</v>
      </c>
      <c r="E3" s="11">
        <f>Sheet1!I3</f>
        <v>551000</v>
      </c>
      <c r="F3" s="11">
        <f>Sheet1!J3</f>
        <v>903600</v>
      </c>
    </row>
    <row r="4" ht="26.25" customHeight="1">
      <c r="A4" s="9" t="s">
        <v>29</v>
      </c>
      <c r="B4" s="9" t="s">
        <v>22</v>
      </c>
      <c r="C4" s="9">
        <v>130.0</v>
      </c>
      <c r="D4" s="9">
        <v>8.0</v>
      </c>
      <c r="E4" s="11">
        <f>Sheet1!I4</f>
        <v>560000</v>
      </c>
      <c r="F4" s="11">
        <f>Sheet1!J4</f>
        <v>918400</v>
      </c>
    </row>
    <row r="5" ht="26.25" customHeight="1">
      <c r="A5" s="9" t="s">
        <v>30</v>
      </c>
      <c r="B5" s="9" t="s">
        <v>22</v>
      </c>
      <c r="C5" s="9">
        <v>130.0</v>
      </c>
      <c r="D5" s="9">
        <v>8.0</v>
      </c>
      <c r="E5" s="11">
        <f>Sheet1!I5</f>
        <v>4200000</v>
      </c>
      <c r="F5" s="11">
        <f>Sheet1!J5</f>
        <v>6888000</v>
      </c>
    </row>
    <row r="6" ht="26.25" customHeight="1">
      <c r="A6" s="9" t="s">
        <v>32</v>
      </c>
      <c r="B6" s="9" t="s">
        <v>22</v>
      </c>
      <c r="C6" s="9">
        <v>130.0</v>
      </c>
      <c r="D6" s="9">
        <v>8.0</v>
      </c>
      <c r="E6" s="11">
        <f>Sheet1!I6</f>
        <v>2800000</v>
      </c>
      <c r="F6" s="11">
        <f>Sheet1!J6</f>
        <v>4592000</v>
      </c>
    </row>
    <row r="7" ht="26.25" customHeight="1">
      <c r="A7" s="9" t="s">
        <v>33</v>
      </c>
      <c r="B7" s="9" t="s">
        <v>22</v>
      </c>
      <c r="C7" s="9">
        <v>130.0</v>
      </c>
      <c r="D7" s="9">
        <v>8.0</v>
      </c>
      <c r="E7" s="11">
        <f>Sheet1!I7</f>
        <v>1870000</v>
      </c>
      <c r="F7" s="11">
        <f>Sheet1!J7</f>
        <v>3067000</v>
      </c>
    </row>
    <row r="8" ht="26.25" customHeight="1">
      <c r="A8" s="14" t="s">
        <v>35</v>
      </c>
      <c r="B8" s="9" t="s">
        <v>22</v>
      </c>
      <c r="C8" s="9">
        <v>100.0</v>
      </c>
      <c r="D8" s="9">
        <v>10.0</v>
      </c>
      <c r="E8" s="11">
        <f>Sheet1!I8</f>
        <v>2250000</v>
      </c>
      <c r="F8" s="11">
        <f>Sheet1!J8</f>
        <v>4500000</v>
      </c>
    </row>
    <row r="9" ht="26.25" customHeight="1">
      <c r="A9" s="14" t="s">
        <v>36</v>
      </c>
      <c r="B9" s="5" t="s">
        <v>22</v>
      </c>
      <c r="C9" s="5">
        <v>100.0</v>
      </c>
      <c r="D9" s="5">
        <v>10.0</v>
      </c>
      <c r="E9" s="15">
        <f>Sheet1!I9</f>
        <v>7500000</v>
      </c>
      <c r="F9" s="15">
        <f>Sheet1!J9</f>
        <v>15000000</v>
      </c>
    </row>
    <row r="10" ht="26.25" customHeight="1">
      <c r="A10" s="16" t="s">
        <v>38</v>
      </c>
      <c r="B10" s="17"/>
      <c r="C10" s="14"/>
      <c r="D10" s="14"/>
      <c r="E10" s="18">
        <f>Sheet1!I11</f>
        <v>4007000</v>
      </c>
      <c r="F10" s="18">
        <f>Sheet1!J11</f>
        <v>7491000</v>
      </c>
    </row>
    <row r="11" ht="26.25" customHeight="1">
      <c r="A11" s="9" t="s">
        <v>39</v>
      </c>
      <c r="B11" s="17"/>
      <c r="C11" s="14"/>
      <c r="D11" s="14"/>
      <c r="E11" s="11">
        <f>Sheet1!I12</f>
        <v>6920000</v>
      </c>
      <c r="F11" s="11">
        <f>Sheet1!J12</f>
        <v>27160000</v>
      </c>
    </row>
  </sheetData>
  <dataValidations>
    <dataValidation type="list" allowBlank="1" showErrorMessage="1" sqref="A1">
      <formula1>"Melee,Range"</formula1>
    </dataValidation>
    <dataValidation type="list" allowBlank="1" showErrorMessage="1" sqref="B2:B9">
      <formula1>"Divine,Immortal,Ancient,Artifact,Mythic,Legendary,Epic,Rare,Uncommon,Common"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</cols>
  <sheetData>
    <row r="2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/>
      <c r="K3" s="1"/>
      <c r="L3" s="1"/>
      <c r="M3" s="1"/>
      <c r="N3" s="1"/>
      <c r="O3" s="1"/>
    </row>
    <row r="4">
      <c r="B4" s="4">
        <v>130.0</v>
      </c>
      <c r="C4" s="1" t="s">
        <v>22</v>
      </c>
      <c r="D4" s="1" t="s">
        <v>25</v>
      </c>
      <c r="E4" s="1" t="s">
        <v>26</v>
      </c>
      <c r="F4" s="12">
        <f>If(D4="Ranged weapon",7*10^((K4-1)/2)*(1+0.015*B4),If(D4="Melee weapon",9*10^((K4-1)/2)*(1+0.015*B4),"ERROR"))</f>
        <v>653010.3368</v>
      </c>
      <c r="G4" s="13">
        <v>10.0</v>
      </c>
      <c r="H4" s="12">
        <f t="shared" ref="H4:H11" si="1">F4*G4^2/100</f>
        <v>653010.3368</v>
      </c>
      <c r="I4" s="12">
        <f t="shared" ref="I4:I11" si="2">H4+F4</f>
        <v>1306020.674</v>
      </c>
      <c r="J4" s="1"/>
      <c r="K4" s="19">
        <f t="shared" ref="K4:K11" si="3">IF(C4="Common",1,IF(C4="Uncommon",2,IF(C4="Rare",3,IF(C4="Epic",4,IF(C4="Legendary",5,IF(C4="Mythic",6,IF(C4="Artifact",7,IF(C4="Ancient",8,IF(C4="Immortal",9,IF(C4="Divine",10,"ERROR"))))))))))</f>
        <v>10</v>
      </c>
      <c r="L4" s="20"/>
      <c r="M4" s="21"/>
      <c r="N4" s="20"/>
      <c r="O4" s="1"/>
    </row>
    <row r="5">
      <c r="B5" s="22">
        <v>130.0</v>
      </c>
      <c r="C5" s="1" t="s">
        <v>22</v>
      </c>
      <c r="D5" s="1" t="s">
        <v>37</v>
      </c>
      <c r="E5" s="1" t="s">
        <v>42</v>
      </c>
      <c r="F5" s="12">
        <f>45*10^((K5-1)/2)*(1+0.015*B5)</f>
        <v>4197923.594</v>
      </c>
      <c r="G5" s="6">
        <v>9.0</v>
      </c>
      <c r="H5" s="12">
        <f t="shared" si="1"/>
        <v>3400318.111</v>
      </c>
      <c r="I5" s="12">
        <f t="shared" si="2"/>
        <v>7598241.705</v>
      </c>
      <c r="J5" s="1"/>
      <c r="K5" s="19">
        <f t="shared" si="3"/>
        <v>10</v>
      </c>
      <c r="L5" s="1"/>
      <c r="M5" s="21"/>
      <c r="N5" s="20"/>
      <c r="O5" s="1"/>
    </row>
    <row r="6">
      <c r="B6" s="4">
        <v>130.0</v>
      </c>
      <c r="C6" s="1" t="s">
        <v>22</v>
      </c>
      <c r="D6" s="1" t="s">
        <v>31</v>
      </c>
      <c r="E6" s="1" t="s">
        <v>26</v>
      </c>
      <c r="F6" s="12">
        <f>6*10^((K6-1)/2)*(1+0.015*B6)</f>
        <v>559723.1458</v>
      </c>
      <c r="G6" s="6">
        <v>9.0</v>
      </c>
      <c r="H6" s="12">
        <f t="shared" si="1"/>
        <v>453375.7481</v>
      </c>
      <c r="I6" s="12">
        <f t="shared" si="2"/>
        <v>1013098.894</v>
      </c>
      <c r="J6" s="1"/>
      <c r="K6" s="19">
        <f t="shared" si="3"/>
        <v>10</v>
      </c>
      <c r="L6" s="1"/>
      <c r="M6" s="21"/>
      <c r="N6" s="20"/>
      <c r="O6" s="1"/>
    </row>
    <row r="7">
      <c r="B7" s="4">
        <v>130.0</v>
      </c>
      <c r="C7" s="1" t="s">
        <v>22</v>
      </c>
      <c r="D7" s="1" t="s">
        <v>46</v>
      </c>
      <c r="E7" s="1" t="s">
        <v>42</v>
      </c>
      <c r="F7" s="12">
        <f>30*10^((K7-1)/2)*(1+0.015*B7)</f>
        <v>2798615.729</v>
      </c>
      <c r="G7" s="6">
        <v>9.0</v>
      </c>
      <c r="H7" s="12">
        <f t="shared" si="1"/>
        <v>2266878.741</v>
      </c>
      <c r="I7" s="12">
        <f t="shared" si="2"/>
        <v>5065494.47</v>
      </c>
      <c r="J7" s="1"/>
      <c r="K7" s="19">
        <f t="shared" si="3"/>
        <v>10</v>
      </c>
      <c r="L7" s="1"/>
      <c r="M7" s="21"/>
      <c r="N7" s="20"/>
      <c r="O7" s="1"/>
    </row>
    <row r="8">
      <c r="B8" s="4">
        <v>130.0</v>
      </c>
      <c r="C8" s="1" t="s">
        <v>22</v>
      </c>
      <c r="D8" s="1" t="s">
        <v>41</v>
      </c>
      <c r="E8" s="1" t="s">
        <v>42</v>
      </c>
      <c r="F8" s="12">
        <f>6*10^((K8-1)/2)*(1+0.015*B8)</f>
        <v>559723.1458</v>
      </c>
      <c r="G8" s="6">
        <v>8.0</v>
      </c>
      <c r="H8" s="12">
        <f t="shared" si="1"/>
        <v>358222.8133</v>
      </c>
      <c r="I8" s="12">
        <f t="shared" si="2"/>
        <v>917945.9592</v>
      </c>
      <c r="J8" s="1"/>
      <c r="K8" s="19">
        <f t="shared" si="3"/>
        <v>10</v>
      </c>
      <c r="L8" s="1"/>
      <c r="M8" s="21"/>
      <c r="N8" s="20"/>
      <c r="O8" s="1"/>
    </row>
    <row r="9">
      <c r="B9" s="4">
        <v>130.0</v>
      </c>
      <c r="C9" s="1" t="s">
        <v>22</v>
      </c>
      <c r="D9" s="1" t="s">
        <v>34</v>
      </c>
      <c r="E9" s="1" t="s">
        <v>26</v>
      </c>
      <c r="F9" s="12">
        <f>20*10^((K9-1)/2)*(1+0.015*B9)</f>
        <v>1865743.819</v>
      </c>
      <c r="G9" s="6">
        <v>9.0</v>
      </c>
      <c r="H9" s="12">
        <f t="shared" si="1"/>
        <v>1511252.494</v>
      </c>
      <c r="I9" s="12">
        <f t="shared" si="2"/>
        <v>3376996.313</v>
      </c>
      <c r="J9" s="1"/>
      <c r="K9" s="19">
        <f t="shared" si="3"/>
        <v>10</v>
      </c>
      <c r="L9" s="1"/>
      <c r="M9" s="21"/>
      <c r="N9" s="20"/>
      <c r="O9" s="1"/>
    </row>
    <row r="10">
      <c r="B10" s="4">
        <v>100.0</v>
      </c>
      <c r="C10" s="1" t="s">
        <v>22</v>
      </c>
      <c r="D10" s="1" t="s">
        <v>53</v>
      </c>
      <c r="E10" s="1" t="s">
        <v>42</v>
      </c>
      <c r="F10" s="12">
        <f>30*10^(K10/2)*(1+0.015*B10)</f>
        <v>7500000</v>
      </c>
      <c r="G10" s="6">
        <v>10.0</v>
      </c>
      <c r="H10" s="12">
        <f t="shared" si="1"/>
        <v>7500000</v>
      </c>
      <c r="I10" s="12">
        <f t="shared" si="2"/>
        <v>15000000</v>
      </c>
      <c r="J10" s="1"/>
      <c r="K10" s="19">
        <f t="shared" si="3"/>
        <v>10</v>
      </c>
      <c r="L10" s="1"/>
      <c r="M10" s="21"/>
      <c r="N10" s="20"/>
      <c r="O10" s="1"/>
    </row>
    <row r="11">
      <c r="B11" s="4">
        <v>100.0</v>
      </c>
      <c r="C11" s="1" t="s">
        <v>22</v>
      </c>
      <c r="D11" s="1" t="s">
        <v>53</v>
      </c>
      <c r="E11" s="1" t="s">
        <v>26</v>
      </c>
      <c r="F11" s="12">
        <f>9*10^(K11/2)*(1+0.015*B11)</f>
        <v>2250000</v>
      </c>
      <c r="G11" s="6">
        <v>10.0</v>
      </c>
      <c r="H11" s="12">
        <f t="shared" si="1"/>
        <v>2250000</v>
      </c>
      <c r="I11" s="12">
        <f t="shared" si="2"/>
        <v>4500000</v>
      </c>
      <c r="J11" s="1"/>
      <c r="K11" s="19">
        <f t="shared" si="3"/>
        <v>10</v>
      </c>
      <c r="L11" s="1"/>
      <c r="M11" s="21"/>
      <c r="N11" s="1"/>
      <c r="O11" s="1"/>
    </row>
    <row r="12">
      <c r="B12" s="1"/>
      <c r="C12" s="1"/>
      <c r="D12" s="1"/>
      <c r="E12" s="1"/>
      <c r="F12" s="1"/>
      <c r="G12" s="1"/>
      <c r="H12" s="20"/>
      <c r="I12" s="20"/>
      <c r="J12" s="1"/>
      <c r="K12" s="1"/>
      <c r="L12" s="1"/>
      <c r="M12" s="1"/>
      <c r="N12" s="1"/>
      <c r="O12" s="1"/>
    </row>
    <row r="13">
      <c r="B13" s="4">
        <v>27.0</v>
      </c>
      <c r="C13" s="3" t="s">
        <v>54</v>
      </c>
      <c r="D13" s="1" t="s">
        <v>55</v>
      </c>
      <c r="E13" s="1" t="s">
        <v>56</v>
      </c>
      <c r="F13" s="6">
        <f>IF(C13="Common",5+0.1*(B13-1),IF(C13="Uncommon",10+0.2*(B13-1),IF(C13="Rare",15+0.3*(B13-1),IF(C13="Epic",20+0.4*(B13-1),IF(C13="Legendary",30+0.6*(B13-1),IF(C13="Mythic",50+1*(B13-1),"you mistyped the rarity"))))))</f>
        <v>30.4</v>
      </c>
      <c r="G13" s="13">
        <v>10.0</v>
      </c>
      <c r="H13" s="21">
        <f>F13*G13^2/100</f>
        <v>30.4</v>
      </c>
      <c r="I13" s="12">
        <f>F13+H13</f>
        <v>60.8</v>
      </c>
      <c r="J13" s="1"/>
      <c r="K13" s="1"/>
      <c r="L13" s="1"/>
      <c r="M13" s="1" t="s">
        <v>57</v>
      </c>
      <c r="N13" s="1"/>
      <c r="O13" s="1"/>
    </row>
    <row r="14">
      <c r="B14" s="1"/>
      <c r="C14" s="1"/>
      <c r="D14" s="1"/>
      <c r="E14" s="1"/>
      <c r="F14" s="1"/>
      <c r="G14" s="1"/>
      <c r="H14" s="1"/>
      <c r="I14" s="1"/>
      <c r="J14" s="1"/>
      <c r="K14" s="1" t="s">
        <v>58</v>
      </c>
      <c r="L14" s="1" t="s">
        <v>59</v>
      </c>
      <c r="M14" s="1" t="s">
        <v>60</v>
      </c>
      <c r="N14" s="1"/>
      <c r="O14" s="1"/>
    </row>
    <row r="15">
      <c r="B15" s="1"/>
      <c r="C15" s="1"/>
      <c r="D15" s="1"/>
      <c r="E15" s="1"/>
      <c r="F15" s="1"/>
      <c r="G15" s="1"/>
      <c r="H15" s="20"/>
      <c r="I15" s="20"/>
      <c r="J15" s="1" t="s">
        <v>26</v>
      </c>
      <c r="K15" s="21">
        <f>SUM(sumif(E4:E11,J15,I4:I11))</f>
        <v>10196115.88</v>
      </c>
      <c r="L15" s="21">
        <f>F38</f>
        <v>1305925.5</v>
      </c>
      <c r="M15" s="6">
        <f>1+(J20+J22+J24)/100</f>
        <v>1.9535</v>
      </c>
      <c r="N15" s="23">
        <f t="shared" ref="N15:N16" si="4">M15*(K15+L15)</f>
        <v>22469237.84</v>
      </c>
      <c r="O15" s="1" t="s">
        <v>26</v>
      </c>
    </row>
    <row r="16">
      <c r="B16" s="1"/>
      <c r="C16" s="1"/>
      <c r="D16" s="1"/>
      <c r="E16" s="1"/>
      <c r="F16" s="1"/>
      <c r="G16" s="1"/>
      <c r="H16" s="20"/>
      <c r="I16" s="20"/>
      <c r="J16" s="1" t="s">
        <v>42</v>
      </c>
      <c r="K16" s="21">
        <f>SUM(sumif(E4:E11,J16,I4:I11))</f>
        <v>28581682.13</v>
      </c>
      <c r="L16" s="21">
        <f>G38</f>
        <v>4381021</v>
      </c>
      <c r="M16" s="6">
        <f>1+(J21+J24)/100</f>
        <v>1.608</v>
      </c>
      <c r="N16" s="23">
        <f t="shared" si="4"/>
        <v>53004026.64</v>
      </c>
      <c r="O16" s="1" t="s">
        <v>42</v>
      </c>
    </row>
    <row r="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4"/>
      <c r="O17" s="1"/>
    </row>
    <row r="18">
      <c r="B18" s="1" t="s">
        <v>59</v>
      </c>
      <c r="C18" s="1" t="s">
        <v>61</v>
      </c>
      <c r="D18" s="1" t="s">
        <v>62</v>
      </c>
      <c r="E18" s="1" t="s">
        <v>11</v>
      </c>
      <c r="F18" s="1" t="s">
        <v>26</v>
      </c>
      <c r="G18" s="1" t="s">
        <v>42</v>
      </c>
      <c r="H18" s="1"/>
      <c r="I18" s="1"/>
      <c r="J18" s="1"/>
      <c r="K18" s="1"/>
      <c r="L18" s="1"/>
      <c r="M18" s="1" t="s">
        <v>10</v>
      </c>
      <c r="N18" s="23">
        <f>N15*(105+J26)/100</f>
        <v>95878484.78</v>
      </c>
      <c r="O18" s="1"/>
    </row>
    <row r="19">
      <c r="B19" s="1" t="s">
        <v>63</v>
      </c>
      <c r="C19" s="1" t="s">
        <v>64</v>
      </c>
      <c r="D19" s="1" t="s">
        <v>65</v>
      </c>
      <c r="E19" s="6">
        <v>125.0</v>
      </c>
      <c r="F19" s="21">
        <v>81.0</v>
      </c>
      <c r="G19" s="21">
        <v>243.0</v>
      </c>
      <c r="H19" s="1"/>
      <c r="I19" s="1" t="s">
        <v>66</v>
      </c>
      <c r="J19" s="1"/>
      <c r="K19" s="1"/>
      <c r="L19" s="1"/>
      <c r="M19" s="1"/>
      <c r="N19" s="1"/>
      <c r="O19" s="1"/>
    </row>
    <row r="20">
      <c r="B20" s="1" t="s">
        <v>63</v>
      </c>
      <c r="C20" s="1" t="s">
        <v>67</v>
      </c>
      <c r="D20" s="1" t="s">
        <v>68</v>
      </c>
      <c r="E20" s="6">
        <v>124.0</v>
      </c>
      <c r="F20" s="21">
        <v>40.5</v>
      </c>
      <c r="G20" s="21">
        <v>405.0</v>
      </c>
      <c r="H20" s="1"/>
      <c r="I20" s="1" t="s">
        <v>26</v>
      </c>
      <c r="J20" s="4">
        <v>12.22</v>
      </c>
      <c r="K20" s="1"/>
      <c r="L20" s="1"/>
      <c r="M20" s="1"/>
      <c r="N20" s="1"/>
      <c r="O20" s="1"/>
    </row>
    <row r="21">
      <c r="B21" s="1" t="s">
        <v>63</v>
      </c>
      <c r="C21" s="1" t="s">
        <v>69</v>
      </c>
      <c r="D21" s="1" t="s">
        <v>70</v>
      </c>
      <c r="E21" s="6">
        <v>123.0</v>
      </c>
      <c r="F21" s="21">
        <v>121.0</v>
      </c>
      <c r="G21" s="21">
        <v>162.0</v>
      </c>
      <c r="H21" s="1"/>
      <c r="I21" s="1" t="s">
        <v>42</v>
      </c>
      <c r="J21" s="25"/>
      <c r="K21" s="1"/>
      <c r="L21" s="1"/>
      <c r="M21" s="1" t="s">
        <v>71</v>
      </c>
      <c r="N21" s="1" t="s">
        <v>72</v>
      </c>
      <c r="O21" s="1"/>
    </row>
    <row r="22">
      <c r="B22" s="1" t="s">
        <v>73</v>
      </c>
      <c r="C22" s="1" t="s">
        <v>74</v>
      </c>
      <c r="D22" s="1" t="s">
        <v>75</v>
      </c>
      <c r="E22" s="6">
        <v>120.0</v>
      </c>
      <c r="F22" s="21">
        <v>357.0</v>
      </c>
      <c r="G22" s="21">
        <v>477.0</v>
      </c>
      <c r="H22" s="1"/>
      <c r="I22" s="1" t="s">
        <v>21</v>
      </c>
      <c r="J22" s="4">
        <v>22.33</v>
      </c>
      <c r="K22" s="1"/>
      <c r="L22" s="1" t="s">
        <v>76</v>
      </c>
      <c r="M22" s="26">
        <v>1.465E7</v>
      </c>
      <c r="N22" s="27">
        <f>(N15-M22)/M22</f>
        <v>0.5337363712</v>
      </c>
      <c r="O22" s="1"/>
    </row>
    <row r="23">
      <c r="B23" s="1" t="s">
        <v>73</v>
      </c>
      <c r="C23" s="1" t="s">
        <v>77</v>
      </c>
      <c r="D23" s="1" t="s">
        <v>78</v>
      </c>
      <c r="E23" s="6">
        <v>122.0</v>
      </c>
      <c r="F23" s="21">
        <v>120.0</v>
      </c>
      <c r="G23" s="21">
        <v>1200.0</v>
      </c>
      <c r="H23" s="1"/>
      <c r="I23" s="1" t="s">
        <v>79</v>
      </c>
      <c r="J23" s="4">
        <v>0.0</v>
      </c>
      <c r="K23" s="1"/>
      <c r="L23" s="1" t="s">
        <v>10</v>
      </c>
      <c r="M23" s="26">
        <v>7.622E7</v>
      </c>
      <c r="N23" s="27">
        <f>(N18-M23)/M23</f>
        <v>0.2579176696</v>
      </c>
      <c r="O23" s="1"/>
    </row>
    <row r="24">
      <c r="B24" s="1" t="s">
        <v>73</v>
      </c>
      <c r="C24" s="1" t="s">
        <v>80</v>
      </c>
      <c r="D24" s="1" t="s">
        <v>81</v>
      </c>
      <c r="E24" s="6">
        <v>116.0</v>
      </c>
      <c r="F24" s="21">
        <v>228.0</v>
      </c>
      <c r="G24" s="21">
        <v>684.0</v>
      </c>
      <c r="H24" s="1"/>
      <c r="I24" s="1" t="s">
        <v>82</v>
      </c>
      <c r="J24" s="28">
        <f>I13</f>
        <v>60.8</v>
      </c>
      <c r="K24" s="1"/>
      <c r="L24" s="1"/>
      <c r="M24" s="1"/>
      <c r="N24" s="1"/>
      <c r="O24" s="1"/>
    </row>
    <row r="25">
      <c r="B25" s="1" t="s">
        <v>83</v>
      </c>
      <c r="C25" s="1" t="s">
        <v>84</v>
      </c>
      <c r="D25" s="1" t="s">
        <v>85</v>
      </c>
      <c r="E25" s="6">
        <v>141.0</v>
      </c>
      <c r="F25" s="21">
        <v>3980.0</v>
      </c>
      <c r="G25" s="21">
        <v>5310.0</v>
      </c>
      <c r="H25" s="1"/>
      <c r="I25" s="1"/>
      <c r="J25" s="29"/>
      <c r="K25" s="1"/>
      <c r="L25" s="1"/>
      <c r="M25" s="1"/>
      <c r="N25" s="1"/>
      <c r="O25" s="1"/>
    </row>
    <row r="26">
      <c r="B26" s="1" t="s">
        <v>83</v>
      </c>
      <c r="C26" s="1" t="s">
        <v>86</v>
      </c>
      <c r="D26" s="1" t="s">
        <v>87</v>
      </c>
      <c r="E26" s="6">
        <v>140.0</v>
      </c>
      <c r="F26" s="21">
        <v>1328.0</v>
      </c>
      <c r="G26" s="21">
        <v>13280.0</v>
      </c>
      <c r="H26" s="1"/>
      <c r="I26" s="1" t="s">
        <v>10</v>
      </c>
      <c r="J26" s="4">
        <v>321.71</v>
      </c>
      <c r="K26" s="1"/>
      <c r="L26" s="1"/>
      <c r="M26" s="1"/>
      <c r="N26" s="1"/>
      <c r="O26" s="1"/>
    </row>
    <row r="27">
      <c r="B27" s="1" t="s">
        <v>83</v>
      </c>
      <c r="C27" s="1" t="s">
        <v>88</v>
      </c>
      <c r="D27" s="1" t="s">
        <v>89</v>
      </c>
      <c r="E27" s="6">
        <v>143.0</v>
      </c>
      <c r="F27" s="21">
        <v>2690.0</v>
      </c>
      <c r="G27" s="21">
        <v>8060.0</v>
      </c>
      <c r="H27" s="1"/>
      <c r="I27" s="1"/>
      <c r="J27" s="1"/>
      <c r="K27" s="1"/>
      <c r="L27" s="1"/>
      <c r="M27" s="1"/>
      <c r="N27" s="1"/>
      <c r="O27" s="1"/>
    </row>
    <row r="28">
      <c r="B28" s="1" t="s">
        <v>54</v>
      </c>
      <c r="C28" s="1" t="s">
        <v>90</v>
      </c>
      <c r="D28" s="1" t="s">
        <v>91</v>
      </c>
      <c r="E28" s="6">
        <v>127.0</v>
      </c>
      <c r="F28" s="21">
        <v>37130.0</v>
      </c>
      <c r="G28" s="21">
        <v>49500.0</v>
      </c>
      <c r="H28" s="1"/>
      <c r="I28" s="1"/>
      <c r="J28" s="1"/>
      <c r="K28" s="1"/>
      <c r="L28" s="1"/>
      <c r="M28" s="1"/>
      <c r="N28" s="1"/>
      <c r="O28" s="1"/>
    </row>
    <row r="29">
      <c r="B29" s="1" t="s">
        <v>54</v>
      </c>
      <c r="C29" s="1" t="s">
        <v>92</v>
      </c>
      <c r="D29" s="1" t="s">
        <v>93</v>
      </c>
      <c r="E29" s="6">
        <v>127.0</v>
      </c>
      <c r="F29" s="21">
        <v>24900.0</v>
      </c>
      <c r="G29" s="21">
        <v>74700.0</v>
      </c>
      <c r="H29" s="1"/>
      <c r="I29" s="1"/>
      <c r="J29" s="1"/>
      <c r="K29" s="1"/>
      <c r="L29" s="1"/>
      <c r="M29" s="1"/>
      <c r="N29" s="1"/>
      <c r="O29" s="1"/>
    </row>
    <row r="30">
      <c r="B30" s="1" t="s">
        <v>54</v>
      </c>
      <c r="C30" s="1" t="s">
        <v>94</v>
      </c>
      <c r="D30" s="1" t="s">
        <v>95</v>
      </c>
      <c r="E30" s="6">
        <v>126.0</v>
      </c>
      <c r="F30" s="21">
        <v>12450.0</v>
      </c>
      <c r="G30" s="21">
        <v>124500.0</v>
      </c>
      <c r="H30" s="1"/>
      <c r="I30" s="1"/>
      <c r="J30" s="1"/>
      <c r="K30" s="1"/>
      <c r="L30" s="1"/>
      <c r="M30" s="1"/>
      <c r="N30" s="1"/>
      <c r="O30" s="1"/>
    </row>
    <row r="31">
      <c r="B31" s="1" t="s">
        <v>96</v>
      </c>
      <c r="C31" s="1" t="s">
        <v>97</v>
      </c>
      <c r="D31" s="1" t="s">
        <v>98</v>
      </c>
      <c r="E31" s="6">
        <v>86.0</v>
      </c>
      <c r="F31" s="21">
        <v>281250.0</v>
      </c>
      <c r="G31" s="21">
        <v>375000.0</v>
      </c>
      <c r="H31" s="1"/>
      <c r="I31" s="1"/>
      <c r="J31" s="1"/>
      <c r="K31" s="1"/>
      <c r="L31" s="1"/>
      <c r="M31" s="1"/>
      <c r="N31" s="1"/>
      <c r="O31" s="1"/>
    </row>
    <row r="32">
      <c r="B32" s="1" t="s">
        <v>96</v>
      </c>
      <c r="C32" s="1" t="s">
        <v>99</v>
      </c>
      <c r="D32" s="1" t="s">
        <v>100</v>
      </c>
      <c r="E32" s="6">
        <v>90.0</v>
      </c>
      <c r="F32" s="21">
        <v>195000.0</v>
      </c>
      <c r="G32" s="21">
        <v>585000.0</v>
      </c>
      <c r="H32" s="1"/>
      <c r="I32" s="1"/>
      <c r="J32" s="1"/>
      <c r="K32" s="1"/>
      <c r="L32" s="1"/>
      <c r="M32" s="1"/>
      <c r="N32" s="1"/>
      <c r="O32" s="1"/>
    </row>
    <row r="33">
      <c r="B33" s="1" t="s">
        <v>96</v>
      </c>
      <c r="C33" s="1" t="s">
        <v>101</v>
      </c>
      <c r="D33" s="1" t="s">
        <v>102</v>
      </c>
      <c r="E33" s="6">
        <v>94.0</v>
      </c>
      <c r="F33" s="21">
        <v>98250.0</v>
      </c>
      <c r="G33" s="21">
        <v>982500.0</v>
      </c>
      <c r="H33" s="1"/>
      <c r="I33" s="1"/>
      <c r="J33" s="1"/>
      <c r="K33" s="1"/>
      <c r="L33" s="1"/>
      <c r="M33" s="1"/>
      <c r="N33" s="1"/>
      <c r="O33" s="1"/>
    </row>
    <row r="34">
      <c r="B34" s="1" t="s">
        <v>103</v>
      </c>
      <c r="C34" s="1" t="s">
        <v>104</v>
      </c>
      <c r="D34" s="1" t="s">
        <v>105</v>
      </c>
      <c r="E34" s="6">
        <v>13.0</v>
      </c>
      <c r="F34" s="21">
        <v>324000.0</v>
      </c>
      <c r="G34" s="21">
        <v>432000.0</v>
      </c>
      <c r="H34" s="1"/>
      <c r="I34" s="1"/>
      <c r="J34" s="1"/>
      <c r="K34" s="1"/>
      <c r="L34" s="1"/>
      <c r="M34" s="1"/>
      <c r="N34" s="1"/>
      <c r="O34" s="1"/>
    </row>
    <row r="35">
      <c r="B35" s="1" t="s">
        <v>103</v>
      </c>
      <c r="C35" s="1" t="s">
        <v>106</v>
      </c>
      <c r="D35" s="1" t="s">
        <v>107</v>
      </c>
      <c r="E35" s="6">
        <v>14.0</v>
      </c>
      <c r="F35" s="21">
        <v>216000.0</v>
      </c>
      <c r="G35" s="21">
        <v>648000.0</v>
      </c>
      <c r="H35" s="1"/>
      <c r="I35" s="1"/>
      <c r="J35" s="1"/>
      <c r="K35" s="1"/>
      <c r="L35" s="1"/>
      <c r="M35" s="1"/>
      <c r="N35" s="1"/>
      <c r="O35" s="1"/>
    </row>
    <row r="36">
      <c r="B36" s="1" t="s">
        <v>103</v>
      </c>
      <c r="C36" s="1" t="s">
        <v>108</v>
      </c>
      <c r="D36" s="1" t="s">
        <v>109</v>
      </c>
      <c r="E36" s="6">
        <v>14.0</v>
      </c>
      <c r="F36" s="21">
        <v>108000.0</v>
      </c>
      <c r="G36" s="21">
        <v>1080000.0</v>
      </c>
      <c r="H36" s="1"/>
      <c r="I36" s="1"/>
      <c r="J36" s="1"/>
      <c r="K36" s="1"/>
      <c r="L36" s="1"/>
      <c r="M36" s="1"/>
      <c r="N36" s="1"/>
      <c r="O36" s="1"/>
    </row>
    <row r="38">
      <c r="B38" s="2" t="s">
        <v>110</v>
      </c>
      <c r="F38" s="12">
        <f t="shared" ref="F38:G38" si="5">SUM(F19:F36)</f>
        <v>1305925.5</v>
      </c>
      <c r="G38" s="12">
        <f t="shared" si="5"/>
        <v>4381021</v>
      </c>
    </row>
  </sheetData>
  <dataValidations>
    <dataValidation type="list" allowBlank="1" showErrorMessage="1" sqref="C13">
      <formula1>"common,Uncommon,Rare,Epic,Legendary,Mythic"</formula1>
    </dataValidation>
    <dataValidation type="list" allowBlank="1" showErrorMessage="1" sqref="C4:C11">
      <formula1>"common,Uncommon,Rare,Epic,Legendary,Mythic,Artifact,Ancient,Immortal,Divine"</formula1>
    </dataValidation>
    <dataValidation type="list" allowBlank="1" showErrorMessage="1" sqref="D4">
      <formula1>"Ranged weapon,Melee weapon"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</v>
      </c>
      <c r="B1" s="2">
        <v>300.0</v>
      </c>
    </row>
    <row r="2">
      <c r="A2" s="2" t="s">
        <v>19</v>
      </c>
      <c r="B2" s="2">
        <v>100.0</v>
      </c>
    </row>
    <row r="5">
      <c r="A5" s="2" t="s">
        <v>20</v>
      </c>
      <c r="B5" s="10">
        <f>1.05 +(B1)/100</f>
        <v>4.05</v>
      </c>
    </row>
    <row r="6">
      <c r="A6" s="2" t="s">
        <v>27</v>
      </c>
      <c r="B6" s="10">
        <f> 1+(B5-1)*(1-B2/100)</f>
        <v>1</v>
      </c>
    </row>
  </sheetData>
  <drawing r:id="rId1"/>
</worksheet>
</file>